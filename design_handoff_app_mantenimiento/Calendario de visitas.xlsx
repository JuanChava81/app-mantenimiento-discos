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defaultThemeVersion="124226"/>
  <mc:AlternateContent xmlns:mc="http://schemas.openxmlformats.org/markup-compatibility/2006">
    <mc:Choice Requires="x15">
      <x15ac:absPath xmlns:x15ac="http://schemas.microsoft.com/office/spreadsheetml/2010/11/ac" url="https://creativeuy.sharepoint.com/sites/Creative/Documentos compartidos/Proyectos/DISCO/Disco 205-UY12/Información general/"/>
    </mc:Choice>
  </mc:AlternateContent>
  <xr:revisionPtr revIDLastSave="1780" documentId="13_ncr:1_{9750DCF5-8768-4C18-A7B9-BA1A1BE6EFB0}" xr6:coauthVersionLast="47" xr6:coauthVersionMax="47" xr10:uidLastSave="{9415AF21-EDFE-41A8-B26D-2348B62AF41B}"/>
  <bookViews>
    <workbookView xWindow="-120" yWindow="-16320" windowWidth="29040" windowHeight="15720" xr2:uid="{8AAA0877-755A-49F8-A35A-742EFEB0C580}"/>
  </bookViews>
  <sheets>
    <sheet name="Plan con formato" sheetId="11" r:id="rId1"/>
    <sheet name="Mes" sheetId="13" r:id="rId2"/>
    <sheet name="Hoja1" sheetId="14" r:id="rId3"/>
    <sheet name="Plan de visitas old" sheetId="1"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s>
  <definedNames>
    <definedName name="_xlnm._FilterDatabase" localSheetId="1" hidden="1">Mes!$C$5:$G$25</definedName>
    <definedName name="_xlnm._FilterDatabase" localSheetId="0" hidden="1">'Plan con formato'!$M$2:$M$207</definedName>
    <definedName name="_xlnm._FilterDatabase" localSheetId="3" hidden="1">'Plan de visitas old'!$AT$2:$AW$213</definedName>
    <definedName name="_xlnm.Print_Area" localSheetId="1">Mes!$B$2:$H$50</definedName>
    <definedName name="messel">"ene"</definedName>
    <definedName name="mestable">#REF!</definedName>
  </definedNames>
  <calcPr calcId="191028"/>
  <pivotCaches>
    <pivotCache cacheId="0"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11" l="1"/>
  <c r="O6" i="13" a="1"/>
  <c r="O6" i="13" s="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U4" i="11"/>
  <c r="V4" i="11"/>
  <c r="U5" i="11"/>
  <c r="V5" i="11"/>
  <c r="U6" i="11"/>
  <c r="V6" i="11"/>
  <c r="U7" i="11"/>
  <c r="V7" i="11"/>
  <c r="U8" i="11"/>
  <c r="V8" i="11"/>
  <c r="U9" i="11"/>
  <c r="V9" i="11"/>
  <c r="U10" i="11"/>
  <c r="V10" i="11"/>
  <c r="U11" i="11"/>
  <c r="V11" i="11"/>
  <c r="U12" i="11"/>
  <c r="V12" i="11"/>
  <c r="U13" i="11"/>
  <c r="V13" i="11"/>
  <c r="U14" i="11"/>
  <c r="V14" i="11"/>
  <c r="U15" i="11"/>
  <c r="V15" i="11"/>
  <c r="U16" i="11"/>
  <c r="V16" i="11"/>
  <c r="U17" i="11"/>
  <c r="V17" i="11"/>
  <c r="U18" i="11"/>
  <c r="V18" i="11"/>
  <c r="U19" i="11"/>
  <c r="V19" i="11"/>
  <c r="U20" i="11"/>
  <c r="V20" i="11"/>
  <c r="U21" i="11"/>
  <c r="V21" i="11"/>
  <c r="U22" i="11"/>
  <c r="V22" i="11"/>
  <c r="U23" i="11"/>
  <c r="V23" i="11"/>
  <c r="U24" i="11"/>
  <c r="V24" i="11"/>
  <c r="U25" i="11"/>
  <c r="V25" i="11"/>
  <c r="U26" i="11"/>
  <c r="V26" i="11"/>
  <c r="U27" i="11"/>
  <c r="V27" i="11"/>
  <c r="U28" i="11"/>
  <c r="V28" i="11"/>
  <c r="U29" i="11"/>
  <c r="V29" i="11"/>
  <c r="U30" i="11"/>
  <c r="V30" i="11"/>
  <c r="U31" i="11"/>
  <c r="V31" i="11"/>
  <c r="U32" i="11"/>
  <c r="V32" i="11"/>
  <c r="U33" i="11"/>
  <c r="V33" i="11"/>
  <c r="U34" i="11"/>
  <c r="V34" i="11"/>
  <c r="U35" i="11"/>
  <c r="V35" i="11"/>
  <c r="U36" i="11"/>
  <c r="V36" i="11"/>
  <c r="U37" i="11"/>
  <c r="V37" i="11"/>
  <c r="U38" i="11"/>
  <c r="V38" i="11"/>
  <c r="U39" i="11"/>
  <c r="V39" i="11"/>
  <c r="U40" i="11"/>
  <c r="V40" i="11"/>
  <c r="U41" i="11"/>
  <c r="V41" i="11"/>
  <c r="U42" i="11"/>
  <c r="V42" i="11"/>
  <c r="U43" i="11"/>
  <c r="V43" i="11"/>
  <c r="U44" i="11"/>
  <c r="V44" i="11"/>
  <c r="U45" i="11"/>
  <c r="V45" i="11"/>
  <c r="U46" i="11"/>
  <c r="V46" i="11"/>
  <c r="U47" i="11"/>
  <c r="V47" i="11"/>
  <c r="U48" i="11"/>
  <c r="V48" i="11"/>
  <c r="U49" i="11"/>
  <c r="V49" i="11"/>
  <c r="U50" i="11"/>
  <c r="V50" i="11"/>
  <c r="U51" i="11"/>
  <c r="V51" i="11"/>
  <c r="U52" i="11"/>
  <c r="V52" i="11"/>
  <c r="U53" i="11"/>
  <c r="V53" i="11"/>
  <c r="U54" i="11"/>
  <c r="V54" i="11"/>
  <c r="U3" i="11"/>
  <c r="V3" i="11"/>
  <c r="Q3" i="11"/>
  <c r="M6" i="13" a="1"/>
  <c r="M6" i="13"/>
  <c r="L6" i="13" a="1"/>
  <c r="N6" i="13" a="1"/>
  <c r="N6" i="13"/>
  <c r="S9" i="11"/>
  <c r="L6" i="13"/>
  <c r="F56" i="11"/>
  <c r="G56" i="11"/>
  <c r="H56" i="11"/>
  <c r="I56" i="11"/>
  <c r="J56" i="11"/>
  <c r="K56" i="11"/>
  <c r="L56" i="11"/>
  <c r="M56" i="11"/>
  <c r="N56" i="11"/>
  <c r="O56" i="11"/>
  <c r="P56" i="11"/>
  <c r="S4" i="11"/>
  <c r="S5" i="11"/>
  <c r="S6" i="11"/>
  <c r="S7" i="11"/>
  <c r="S8"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3" i="11"/>
  <c r="BG5"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4" i="1"/>
  <c r="BE59" i="1"/>
  <c r="BD59" i="1"/>
  <c r="BC59" i="1"/>
  <c r="BB59" i="1"/>
  <c r="W59" i="1"/>
  <c r="U59" i="1"/>
  <c r="T59" i="1"/>
  <c r="S59" i="1"/>
  <c r="R59" i="1"/>
  <c r="Q59" i="1"/>
  <c r="E59" i="1"/>
  <c r="F59" i="1"/>
  <c r="G59" i="1"/>
  <c r="H59" i="1"/>
  <c r="I59" i="1"/>
  <c r="J59" i="1"/>
  <c r="K59" i="1"/>
  <c r="L59" i="1"/>
  <c r="M59" i="1"/>
  <c r="N59" i="1"/>
  <c r="O59" i="1"/>
  <c r="P59" i="1"/>
  <c r="BA59" i="1"/>
  <c r="AZ59" i="1"/>
  <c r="AY59" i="1"/>
  <c r="AX59" i="1"/>
  <c r="AW59" i="1"/>
  <c r="AV59" i="1"/>
  <c r="AU59" i="1"/>
  <c r="AT59" i="1"/>
  <c r="S56" i="11"/>
  <c r="BG59" i="1"/>
  <c r="R62" i="1"/>
  <c r="J62" i="1"/>
  <c r="N62" i="1"/>
  <c r="F62" i="1"/>
  <c r="AY62" i="1"/>
  <c r="AU62" i="1"/>
  <c r="AK59" i="1"/>
  <c r="X59" i="1"/>
  <c r="Y59" i="1"/>
  <c r="Z59" i="1"/>
  <c r="AA59" i="1"/>
  <c r="AB59" i="1"/>
  <c r="AC59" i="1"/>
  <c r="AD59" i="1"/>
  <c r="AE59" i="1"/>
  <c r="AF59" i="1"/>
  <c r="AG59" i="1"/>
  <c r="AH59" i="1"/>
  <c r="AI59" i="1"/>
  <c r="AJ59" i="1"/>
  <c r="AL59" i="1"/>
  <c r="AM59" i="1"/>
  <c r="AN59" i="1"/>
  <c r="AO59" i="1"/>
  <c r="AP59" i="1"/>
  <c r="AQ59" i="1"/>
  <c r="AR59" i="1"/>
  <c r="AS59" i="1"/>
  <c r="V59" i="1"/>
  <c r="X62" i="1"/>
  <c r="AQ62" i="1"/>
  <c r="AF62" i="1"/>
  <c r="AM62" i="1"/>
  <c r="AJ62" i="1"/>
  <c r="AB62" i="1"/>
  <c r="AE64" i="1"/>
  <c r="P6" i="13" l="1" a="1"/>
  <c r="G6" i="13" a="1"/>
  <c r="G6" i="13" s="1"/>
  <c r="G4" i="13" s="1"/>
  <c r="C6" i="13" a="1"/>
  <c r="C6" i="13" s="1"/>
  <c r="G3" i="13" s="1"/>
  <c r="D6" i="13" a="1"/>
  <c r="D6" i="13" s="1"/>
  <c r="P6" i="13" l="1"/>
  <c r="E6" i="13" s="1" a="1"/>
  <c r="E6"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Valentin finozzi</author>
  </authors>
  <commentList>
    <comment ref="Q2" authorId="0" shapeId="0" xr:uid="{42C79C60-DA99-4DC3-BA81-4E3C38FB8455}">
      <text>
        <r>
          <rPr>
            <b/>
            <sz val="10"/>
            <color indexed="81"/>
            <rFont val="Tahoma"/>
            <family val="2"/>
          </rPr>
          <t>Valentin finozzi:</t>
        </r>
        <r>
          <rPr>
            <sz val="10"/>
            <color indexed="81"/>
            <rFont val="Tahoma"/>
            <family val="2"/>
          </rPr>
          <t xml:space="preserve">
La formula de esta columna toma lo escrito a la derecha del número del local en cada planilla de mantenimiento.  
----
VLOOKUP busca en cada planilla la celda que dice "SUCURSAL:" y devuelve la celda dos columnas a la derecha, en la que se escriben los recordatorios.
Modificar esta formula en esta misma columna no funciona ya que al expandirla al resto de la columna, no son rellenados correctamente los nombres de local de las rutas de archivo. Para modificar la formula, hacerlo desde la columna [acc2].</t>
        </r>
      </text>
    </comment>
    <comment ref="U2" authorId="0" shapeId="0" xr:uid="{B0B686F2-909D-4CE3-BF7B-0495459304F0}">
      <text>
        <r>
          <rPr>
            <b/>
            <sz val="10"/>
            <color indexed="81"/>
            <rFont val="Tahoma"/>
            <family val="2"/>
          </rPr>
          <t>Valentin finozzi:</t>
        </r>
        <r>
          <rPr>
            <sz val="10"/>
            <color indexed="81"/>
            <rFont val="Tahoma"/>
            <family val="2"/>
          </rPr>
          <t xml:space="preserve">
Esta columna agarra los nombres de la columna [SUC] y les quita el espacio. Sirve para generar las rutas al archivo de cada planilla.</t>
        </r>
      </text>
    </comment>
    <comment ref="V2" authorId="0" shapeId="0" xr:uid="{42D90798-5669-4B6B-8DE8-4963E9C56182}">
      <text>
        <r>
          <rPr>
            <b/>
            <sz val="10"/>
            <color indexed="81"/>
            <rFont val="Tahoma"/>
            <family val="2"/>
          </rPr>
          <t>Valentin finozzi:</t>
        </r>
        <r>
          <rPr>
            <sz val="10"/>
            <color indexed="81"/>
            <rFont val="Tahoma"/>
            <family val="2"/>
          </rPr>
          <t xml:space="preserve">
Esta columna toma el nombre de local de [acc1] y genera la formula de VLOOKUP con la ruta correcta a cada archivo de planilla que va en la columna [Recordatorio]
----
Esta es la forma que encontré de generar sistematicamente formulas con referencias a rutas distintas. En caso de cambiarse esta formula, debe de pegarse como valor en la columna [Recordatorio]. Para ejecutar simultaneamente todas las formulas de la columna despues de pegarlas, seleccionarlas todas y utilizar la función Encontrar y Remplazar para remplazar "=" por "=". Esto forza a Excel a abrir y ejecutar cada columna.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Valentin finozzi</author>
  </authors>
  <commentList>
    <comment ref="L4" authorId="0" shapeId="0" xr:uid="{F4A55726-08E0-4C7B-A3E2-2B86DA2292B1}">
      <text>
        <r>
          <rPr>
            <b/>
            <sz val="9"/>
            <color indexed="81"/>
            <rFont val="Tahoma"/>
            <family val="2"/>
          </rPr>
          <t>Valentin finozzi:</t>
        </r>
        <r>
          <rPr>
            <sz val="9"/>
            <color indexed="81"/>
            <rFont val="Tahoma"/>
            <family val="2"/>
          </rPr>
          <t xml:space="preserve">
Esta tabla toma del Plan anual las columnas necesarias para mostrar luego en el plan del mes. En lugar de mostrar la asignación de visitas de todos los meses la muestra solo para el mes seleccionado por el menú desplegable de C4.</t>
        </r>
      </text>
    </comment>
    <comment ref="C5" authorId="0" shapeId="0" xr:uid="{BCFE2694-E132-4E1B-AE91-7A3231662F71}">
      <text>
        <r>
          <rPr>
            <b/>
            <sz val="10"/>
            <color indexed="81"/>
            <rFont val="Tahoma"/>
            <family val="2"/>
          </rPr>
          <t>Valentin finozzi:</t>
        </r>
        <r>
          <rPr>
            <sz val="10"/>
            <color indexed="81"/>
            <rFont val="Tahoma"/>
            <family val="2"/>
          </rPr>
          <t xml:space="preserve">
En esta tabla se muestran las filas correspondientes a los locales que tienen una visita asignada en el mes seleccionado en el menú desplegable, tomadas de Tabla accesorio.
La función FILTER reduce la tabla a las filas de locales con visitas asignadas y la función INDEX selecciona la columna correspondiente.</t>
        </r>
      </text>
    </comment>
    <comment ref="E5" authorId="0" shapeId="0" xr:uid="{9697A959-0F84-45CD-89DD-58B9FB4D57F8}">
      <text>
        <r>
          <rPr>
            <b/>
            <sz val="10"/>
            <color indexed="81"/>
            <rFont val="Tahoma"/>
            <family val="2"/>
          </rPr>
          <t>Valentin finozzi:</t>
        </r>
        <r>
          <rPr>
            <sz val="10"/>
            <color indexed="81"/>
            <rFont val="Tahoma"/>
            <family val="2"/>
          </rPr>
          <t xml:space="preserve">
Hace lo mismo que las otras columnas, solo que sustituye al cero por celdas vacías para los locales que no tienen recordatorios.</t>
        </r>
      </text>
    </comment>
    <comment ref="O5" authorId="0" shapeId="0" xr:uid="{509F56AA-7A8E-4E4C-AD3F-7570F3F12A8F}">
      <text>
        <r>
          <rPr>
            <b/>
            <sz val="9"/>
            <color indexed="81"/>
            <rFont val="Tahoma"/>
            <family val="2"/>
          </rPr>
          <t>Valentin finozzi:</t>
        </r>
        <r>
          <rPr>
            <sz val="9"/>
            <color indexed="81"/>
            <rFont val="Tahoma"/>
            <family val="2"/>
          </rPr>
          <t xml:space="preserve">
Muestra las visitas asignadas para el mes seleccionado por el menú desplegable de C4.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<sst xmlns="http://schemas.openxmlformats.org/spreadsheetml/2006/main" count="406" uniqueCount="283">
  <si>
    <t>SUC</t>
  </si>
  <si>
    <t>NOMBRE</t>
  </si>
  <si>
    <t>DIRECCION</t>
  </si>
  <si>
    <t>ENE</t>
  </si>
  <si>
    <t>FEB</t>
  </si>
  <si>
    <t>MAR</t>
  </si>
  <si>
    <t>ABR</t>
  </si>
  <si>
    <t>MAY</t>
  </si>
  <si>
    <t>JUN</t>
  </si>
  <si>
    <t>JUL</t>
  </si>
  <si>
    <t>AGO</t>
  </si>
  <si>
    <t>SET</t>
  </si>
  <si>
    <t>OCT</t>
  </si>
  <si>
    <t>NOV</t>
  </si>
  <si>
    <t>DIC</t>
  </si>
  <si>
    <t>Recordatorio</t>
  </si>
  <si>
    <t>Visitas al año:</t>
  </si>
  <si>
    <t>acc1</t>
  </si>
  <si>
    <t>acc2</t>
  </si>
  <si>
    <t>D 01</t>
  </si>
  <si>
    <t>Scoseria</t>
  </si>
  <si>
    <t>Scosería 2628</t>
  </si>
  <si>
    <t>D 02</t>
  </si>
  <si>
    <t>Agraciada</t>
  </si>
  <si>
    <t>Av. Agraciada 2986</t>
  </si>
  <si>
    <t>D 03</t>
  </si>
  <si>
    <t>Arenal Grande</t>
  </si>
  <si>
    <t>Arenal Grande 1376</t>
  </si>
  <si>
    <t>D 04</t>
  </si>
  <si>
    <t>Legrand</t>
  </si>
  <si>
    <t>Av. Legrand 5085</t>
  </si>
  <si>
    <t>D 05</t>
  </si>
  <si>
    <t>Parada 5</t>
  </si>
  <si>
    <t>Pedragosa Sierra y Av. Italia, Punta del Este</t>
  </si>
  <si>
    <t>D 06</t>
  </si>
  <si>
    <t>Fernandez Crespo</t>
  </si>
  <si>
    <t>Av. Daniel Fernandez Crespo 1727</t>
  </si>
  <si>
    <t>D 07</t>
  </si>
  <si>
    <t>Soca</t>
  </si>
  <si>
    <t>Av. Dr. Francisco Soca 1318</t>
  </si>
  <si>
    <t>D 08</t>
  </si>
  <si>
    <t>Roosevelt</t>
  </si>
  <si>
    <t>Av. Roosevelt y Zelmar Michellini s/n, Maldonado</t>
  </si>
  <si>
    <t>D 09</t>
  </si>
  <si>
    <t>Pta Carretas</t>
  </si>
  <si>
    <t>Ellauri 350, local 002. Shopping Punta Carretas</t>
  </si>
  <si>
    <t>D 10</t>
  </si>
  <si>
    <t>Camino Maldonado</t>
  </si>
  <si>
    <t>Brig. Gral. Lavalleja 7722, Maldonado</t>
  </si>
  <si>
    <t>D 11</t>
  </si>
  <si>
    <t>8 de Octubre y Garibaldi</t>
  </si>
  <si>
    <t>8 de Octubre 2681</t>
  </si>
  <si>
    <t>D 12</t>
  </si>
  <si>
    <t>Curva De Maroñas</t>
  </si>
  <si>
    <t>8 de Octubre 4786</t>
  </si>
  <si>
    <t>D 13</t>
  </si>
  <si>
    <t>Chucarro</t>
  </si>
  <si>
    <t>Chucarro 1320</t>
  </si>
  <si>
    <t>D 14</t>
  </si>
  <si>
    <t>De La Punta</t>
  </si>
  <si>
    <t>Calle 17, entre Gorlero y 24, Punta del Este</t>
  </si>
  <si>
    <t>D 15</t>
  </si>
  <si>
    <t>Marcelino Sosa</t>
  </si>
  <si>
    <t>Marcelino Sosa 2706</t>
  </si>
  <si>
    <t>D 16</t>
  </si>
  <si>
    <t>Ayacucho</t>
  </si>
  <si>
    <t>Ayacucho 3370</t>
  </si>
  <si>
    <t>D 17</t>
  </si>
  <si>
    <t>Calle Maldonado</t>
  </si>
  <si>
    <t>Maldonado 1024</t>
  </si>
  <si>
    <t>D 18</t>
  </si>
  <si>
    <t>Solymar</t>
  </si>
  <si>
    <t>Av. Giannattasio Km. 23.500, Solymar</t>
  </si>
  <si>
    <t>D 19</t>
  </si>
  <si>
    <t>Atlantida</t>
  </si>
  <si>
    <t>Calle Gral. Artigas s/n, entre 22 y 24, Atlántida</t>
  </si>
  <si>
    <t>D 20</t>
  </si>
  <si>
    <t>20 De Setiembre</t>
  </si>
  <si>
    <t>20 de setiembre 1521</t>
  </si>
  <si>
    <t>D 21</t>
  </si>
  <si>
    <t>Ejido</t>
  </si>
  <si>
    <t>Ejido 1530</t>
  </si>
  <si>
    <t>D 22</t>
  </si>
  <si>
    <t>Barrios Amorin</t>
  </si>
  <si>
    <t>Barrios Amorín 859</t>
  </si>
  <si>
    <t>D 23</t>
  </si>
  <si>
    <t>Medanos</t>
  </si>
  <si>
    <t>Av. Giannattasio km 27.500 y Av. Central, Médanos</t>
  </si>
  <si>
    <t>D 24</t>
  </si>
  <si>
    <t>Obligado</t>
  </si>
  <si>
    <t>Obligado 968</t>
  </si>
  <si>
    <t>D 25</t>
  </si>
  <si>
    <t>Solano Lopez</t>
  </si>
  <si>
    <t>Francisco Solano López 1680</t>
  </si>
  <si>
    <t>D 26</t>
  </si>
  <si>
    <t>Canelones</t>
  </si>
  <si>
    <t>Florencio Sanchez 729, Canelones</t>
  </si>
  <si>
    <t>D 27</t>
  </si>
  <si>
    <t>Avda Italia</t>
  </si>
  <si>
    <t>Magariños Cervantes 2052</t>
  </si>
  <si>
    <t>D 28</t>
  </si>
  <si>
    <t>La Cabaña</t>
  </si>
  <si>
    <t>Naciones Unidas y Rambla, El Pinar</t>
  </si>
  <si>
    <t>DV 01</t>
  </si>
  <si>
    <t>Malvin</t>
  </si>
  <si>
    <t>H. Irigoyen 1444</t>
  </si>
  <si>
    <t>DV 02</t>
  </si>
  <si>
    <t>Punta Gorda</t>
  </si>
  <si>
    <t>Gral. Paz 1404</t>
  </si>
  <si>
    <t>DV 03</t>
  </si>
  <si>
    <t>Brisas</t>
  </si>
  <si>
    <t>Rivera 4502</t>
  </si>
  <si>
    <t>DV 04</t>
  </si>
  <si>
    <t>Carrasco</t>
  </si>
  <si>
    <t>Bolivia 1413</t>
  </si>
  <si>
    <t>DV 05</t>
  </si>
  <si>
    <t>Shangrila</t>
  </si>
  <si>
    <t>Av. Calcagno s/n, Shangrilá</t>
  </si>
  <si>
    <t>DV 06</t>
  </si>
  <si>
    <t>Santa Mónica</t>
  </si>
  <si>
    <t>Av. Italia 6958 esq. Sta. Mónica</t>
  </si>
  <si>
    <t>DV 07</t>
  </si>
  <si>
    <t>Colón</t>
  </si>
  <si>
    <t>Av. Garzón 1945</t>
  </si>
  <si>
    <t>DV 08</t>
  </si>
  <si>
    <t>San Martín I</t>
  </si>
  <si>
    <t>San Martín 3709</t>
  </si>
  <si>
    <t>DV 09</t>
  </si>
  <si>
    <t>Punta del Este</t>
  </si>
  <si>
    <t>Av. Roosevelt y Parada 10, Punta del Este</t>
  </si>
  <si>
    <t>DV 10</t>
  </si>
  <si>
    <t>Portones</t>
  </si>
  <si>
    <t>Av. Italia 5779</t>
  </si>
  <si>
    <t>DV 11</t>
  </si>
  <si>
    <t>Sayago</t>
  </si>
  <si>
    <t>Cno. Ariel 4626</t>
  </si>
  <si>
    <t>DV 12</t>
  </si>
  <si>
    <t>Pando</t>
  </si>
  <si>
    <t>Ruta 8 km 30.800, Pando.</t>
  </si>
  <si>
    <t>DV 13</t>
  </si>
  <si>
    <t>Piriapolis Rambla</t>
  </si>
  <si>
    <t>Rbla. de los Argentinos y Vázquez, Piriapolis</t>
  </si>
  <si>
    <t>DV 14</t>
  </si>
  <si>
    <t>Hiperpiria</t>
  </si>
  <si>
    <t>Av. Piria y Bs.As, Piriapolis</t>
  </si>
  <si>
    <t>DV 15</t>
  </si>
  <si>
    <t>Agraciada y Fco. Gómez</t>
  </si>
  <si>
    <t>DV 16</t>
  </si>
  <si>
    <t>San Martín II</t>
  </si>
  <si>
    <t>Av. Gral. San Martín 3083</t>
  </si>
  <si>
    <t>DV 18</t>
  </si>
  <si>
    <t>Las Piedras I</t>
  </si>
  <si>
    <t>Juan A. Lavalleja 671</t>
  </si>
  <si>
    <t>DV 19</t>
  </si>
  <si>
    <t>Prado - Suárez</t>
  </si>
  <si>
    <t>Joaquín Suarez 3458</t>
  </si>
  <si>
    <t>DV 20</t>
  </si>
  <si>
    <t>Arenal Grande 2006</t>
  </si>
  <si>
    <t>DV 21</t>
  </si>
  <si>
    <t>8 de Octubre</t>
  </si>
  <si>
    <t>8 de Octubre 3621</t>
  </si>
  <si>
    <t>DV 22</t>
  </si>
  <si>
    <t>26 de Marzo</t>
  </si>
  <si>
    <t>26 de Marzo esq. Lorenzo Pérez</t>
  </si>
  <si>
    <t>DV 23</t>
  </si>
  <si>
    <t>Coronel Mora</t>
  </si>
  <si>
    <t>Coronel Mora y Agr. Francisco Ros</t>
  </si>
  <si>
    <t>DV 24</t>
  </si>
  <si>
    <t>San Quintín</t>
  </si>
  <si>
    <t>Av. San Quintín 4376</t>
  </si>
  <si>
    <t>DV 25</t>
  </si>
  <si>
    <t>Las Piedras II</t>
  </si>
  <si>
    <t>Av. Dr. Pouey 622.</t>
  </si>
  <si>
    <t>Visitas de cada mes:</t>
  </si>
  <si>
    <t>Enero</t>
  </si>
  <si>
    <t>Tabla accesorio</t>
  </si>
  <si>
    <t>Sucursal</t>
  </si>
  <si>
    <t>Recordatorio:</t>
  </si>
  <si>
    <t>Dirección</t>
  </si>
  <si>
    <t>MES</t>
  </si>
  <si>
    <t>RECORDATORIO</t>
  </si>
  <si>
    <t>5 Disco, 3 Devoto</t>
  </si>
  <si>
    <t>8 locales.</t>
  </si>
  <si>
    <t>Fecha</t>
  </si>
  <si>
    <t/>
  </si>
  <si>
    <t>mayo</t>
  </si>
  <si>
    <t>TOTAL</t>
  </si>
  <si>
    <t>Geant I</t>
  </si>
  <si>
    <t>GEANT I</t>
  </si>
  <si>
    <t>Av. Giannattasio y Av. La Playa</t>
  </si>
  <si>
    <t>Geant II</t>
  </si>
  <si>
    <t>GEANT II</t>
  </si>
  <si>
    <t>Shopping Nuevo Centro</t>
  </si>
  <si>
    <t xml:space="preserve"> Scosería - Pocitos</t>
  </si>
  <si>
    <t>Scosería 2628 entre Luis de la Torre y Francisco Aguilar</t>
  </si>
  <si>
    <t xml:space="preserve"> Agraciada - Agraciada 2986</t>
  </si>
  <si>
    <t>Av. Agraciada 2986 entre Ascencio y Evaristo Ciganda</t>
  </si>
  <si>
    <t xml:space="preserve"> Arenal Grande - Cordón</t>
  </si>
  <si>
    <t>Arenal Grande 1376, entre Rivera y Rodó</t>
  </si>
  <si>
    <t xml:space="preserve"> Legrand - Av. Legrand</t>
  </si>
  <si>
    <t>Av. Legrand 5085 entre Retamosa y Michigan.</t>
  </si>
  <si>
    <t xml:space="preserve"> Pedragosa Sierra - Maldonado - Pta. del Este</t>
  </si>
  <si>
    <t>Pedragosa Sierra y Av. Italia. Parada 5 . Punta del Este</t>
  </si>
  <si>
    <t xml:space="preserve"> Fernández Crespo - Centro</t>
  </si>
  <si>
    <t>Av. Daniel Fernandez Crespo 1727 entre Uruguay y Paysandú</t>
  </si>
  <si>
    <t xml:space="preserve"> Av. Soca - Dr. Francisco Soca 1318</t>
  </si>
  <si>
    <t>Avda. Dr. Francisco Soca 1318, entre Charrúa y Gestido</t>
  </si>
  <si>
    <t xml:space="preserve"> Roosevelt - Maldonado-Fresh Market</t>
  </si>
  <si>
    <t>Av. Roosevelt y Zelmar Michellini s/n. Maldonado</t>
  </si>
  <si>
    <t xml:space="preserve"> Punta Carretas - P. Carretas Shopping-Fresh Market</t>
  </si>
  <si>
    <t>Ellauri 350 local 002 Shopping Punta Carretas</t>
  </si>
  <si>
    <t xml:space="preserve"> Camino Maldonado- Villa Prosperidad</t>
  </si>
  <si>
    <t>Brig. Gral. Lavalleja 7722 Km. 16. CAM. MALDONADO</t>
  </si>
  <si>
    <t xml:space="preserve"> 8 de Octubre y Garibaldi- La Blanqueada-Fresh Market</t>
  </si>
  <si>
    <t>8 de Octubre 2681 y Garibaldi</t>
  </si>
  <si>
    <t xml:space="preserve"> 8 de Octubre y Vicenza - Av. 8 de Octubre 4786</t>
  </si>
  <si>
    <t>8 de Octubre 4786, entre Vicenza y Jose Bejar</t>
  </si>
  <si>
    <t xml:space="preserve"> Chucarro - Chucarro 1320</t>
  </si>
  <si>
    <t xml:space="preserve">Chucarro 1320 entre Pagola y Camino de los Hormigueros </t>
  </si>
  <si>
    <t xml:space="preserve"> </t>
  </si>
  <si>
    <t xml:space="preserve"> Calle 17 y 24 - Maldonado - P. del Este</t>
  </si>
  <si>
    <t>Calle 17, entre Gorlero y 24. Punta del Este</t>
  </si>
  <si>
    <t xml:space="preserve"> Marcelino Sosa - Sucursal Goes</t>
  </si>
  <si>
    <t>Marcelino Sosa 2706 esquina Vilardebo.</t>
  </si>
  <si>
    <t xml:space="preserve"> Ayacucho - Ayacucho 3370</t>
  </si>
  <si>
    <t>Ayacucho 3370 entre Maipú y Luis A. de Herrera</t>
  </si>
  <si>
    <t xml:space="preserve"> Maldonado - Maldonado 1024</t>
  </si>
  <si>
    <t>Maldonado 1024 entre Rio Negro y Julio Herrera y Obes</t>
  </si>
  <si>
    <t xml:space="preserve"> Solymar - Solymar</t>
  </si>
  <si>
    <t xml:space="preserve">Av. Giannattasio Km. 23.500 </t>
  </si>
  <si>
    <t xml:space="preserve"> Altántida - Atlántida</t>
  </si>
  <si>
    <t>Calle Gral. Artigas s/n, entre la 22 y 24 - Atlántida</t>
  </si>
  <si>
    <t xml:space="preserve"> 20 Setiembre - Parque Batlle</t>
  </si>
  <si>
    <t>20 de setiembre No.1521 esquina Palmar</t>
  </si>
  <si>
    <t xml:space="preserve"> Ejido - Centro</t>
  </si>
  <si>
    <t>Ejido 1530 casi Paysandú</t>
  </si>
  <si>
    <t xml:space="preserve"> Barrios Amorín - Barrios Amorín 859</t>
  </si>
  <si>
    <t xml:space="preserve"> Av. Giannatasio - Médanos de Solymar</t>
  </si>
  <si>
    <t>Av. Giannattasio km 27.500 y Av. Central</t>
  </si>
  <si>
    <t xml:space="preserve"> Obligado - Obligado</t>
  </si>
  <si>
    <t xml:space="preserve"> Solano López - Francisco Solano López 1680</t>
  </si>
  <si>
    <t xml:space="preserve"> Canelones - Florencio Sanchez 729</t>
  </si>
  <si>
    <t>Florencio Sanchez 729. CANELONES</t>
  </si>
  <si>
    <t xml:space="preserve"> Av. Italia - M. Cervantes 2052-Fresh Market</t>
  </si>
  <si>
    <t>D LC</t>
  </si>
  <si>
    <t xml:space="preserve"> La cabaña - Naciones Unidas y rambla</t>
  </si>
  <si>
    <t>Naciones Unidas y Rambla</t>
  </si>
  <si>
    <t>las piedras II</t>
  </si>
  <si>
    <t>Av. Dr. Pouey 622 esq. Gral. Flores</t>
  </si>
  <si>
    <t>san quintin</t>
  </si>
  <si>
    <t>Avda. San Quintín 4376</t>
  </si>
  <si>
    <t>coronel mora</t>
  </si>
  <si>
    <t>26 de marzo</t>
  </si>
  <si>
    <t>8 de octubre</t>
  </si>
  <si>
    <t>arenal grande</t>
  </si>
  <si>
    <t>suárez</t>
  </si>
  <si>
    <t>las piedras</t>
  </si>
  <si>
    <t>san martin II</t>
  </si>
  <si>
    <t>agaciada</t>
  </si>
  <si>
    <t>hiperpiria</t>
  </si>
  <si>
    <t>Av. Piria y Bs.As</t>
  </si>
  <si>
    <t>piriápolis</t>
  </si>
  <si>
    <t>Rbla. de los Argentinos y Vázquez</t>
  </si>
  <si>
    <t>pando</t>
  </si>
  <si>
    <t>Ruta 8 Km. 30.800                                                 PANDO</t>
  </si>
  <si>
    <t>del norte - sayago</t>
  </si>
  <si>
    <t>portones</t>
  </si>
  <si>
    <t>Avda. Italia 5779</t>
  </si>
  <si>
    <t>punta del este</t>
  </si>
  <si>
    <t>Avda. Roosevelt y P.10</t>
  </si>
  <si>
    <t>san martín</t>
  </si>
  <si>
    <t>colón</t>
  </si>
  <si>
    <t>Avda. Garzón 1945</t>
  </si>
  <si>
    <t>santa mónica</t>
  </si>
  <si>
    <t>Avda. Italia 6958 . Santa monica</t>
  </si>
  <si>
    <t>shangrilá</t>
  </si>
  <si>
    <t>Avda. Calcagno (#1440 aprox)</t>
  </si>
  <si>
    <t>carrasco</t>
  </si>
  <si>
    <t>brisas</t>
  </si>
  <si>
    <t>punta gorda</t>
  </si>
  <si>
    <t>malvin</t>
  </si>
  <si>
    <t>TOTAL VISITAS</t>
  </si>
  <si>
    <t>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</si>
</sst>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1"/>
      <color theme="1"/>
      <name val="Calibri"/>
      <family val="2"/>
      <scheme val="minor"/>
    </font>
    <font>
      <sz val="11"/>
      <name val="Calibri"/>
      <family val="2"/>
      <scheme val="minor"/>
    </font>
    <font>
      <b/>
      <sz val="11"/>
      <name val="Calibri"/>
      <family val="2"/>
      <scheme val="minor"/>
    </font>
    <font>
      <b/>
      <sz val="12"/>
      <name val="Calibri"/>
      <family val="2"/>
      <scheme val="minor"/>
    </font>
    <font>
      <b/>
      <sz val="12"/>
      <color theme="1"/>
      <name val="Calibri"/>
      <family val="2"/>
      <scheme val="minor"/>
    </font>
    <font>
      <sz val="8"/>
      <name val="Calibri"/>
      <family val="2"/>
      <scheme val="minor"/>
    </font>
    <font>
      <sz val="9"/>
      <color theme="1"/>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9"/>
      <color indexed="81"/>
      <name val="Tahoma"/>
      <family val="2"/>
    </font>
    <font>
      <b/>
      <sz val="9"/>
      <color indexed="81"/>
      <name val="Tahoma"/>
      <family val="2"/>
    </font>
    <font>
      <b/>
      <sz val="10"/>
      <color indexed="81"/>
      <name val="Tahoma"/>
      <family val="2"/>
    </font>
    <font>
      <sz val="10"/>
      <color indexed="81"/>
      <name val="Tahoma"/>
      <family val="2"/>
    </font>
    <font>
      <b/>
      <sz val="16"/>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EF9B4"/>
        <bgColor indexed="64"/>
      </patternFill>
    </fill>
    <fill>
      <patternFill patternType="solid">
        <fgColor theme="1"/>
        <bgColor theme="1"/>
      </patternFill>
    </fill>
    <fill>
      <patternFill patternType="solid">
        <fgColor theme="1" tint="4.9989318521683403E-2"/>
        <bgColor indexed="64"/>
      </patternFill>
    </fill>
    <fill>
      <patternFill patternType="solid">
        <fgColor theme="1" tint="0.249977111117893"/>
        <bgColor indexed="64"/>
      </patternFill>
    </fill>
    <fill>
      <patternFill patternType="solid">
        <fgColor rgb="FFFFFF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9">
    <xf numFmtId="0" fontId="0" fillId="0" borderId="0" xfId="0"/>
    <xf numFmtId="0" fontId="0" fillId="0" borderId="0" xfId="0" applyAlignment="1">
      <alignment horizontal="center" vertical="center"/>
    </xf>
    <xf numFmtId="0" fontId="0" fillId="0" borderId="0" xfId="0" applyAlignment="1">
      <alignment vertical="center"/>
    </xf>
    <xf numFmtId="0" fontId="2" fillId="0" borderId="0" xfId="0" applyFont="1" applyAlignment="1">
      <alignment vertical="center"/>
    </xf>
    <xf numFmtId="0" fontId="0" fillId="0" borderId="10" xfId="0" applyBorder="1" applyAlignment="1">
      <alignment horizontal="center" vertical="center"/>
    </xf>
    <xf numFmtId="0" fontId="2" fillId="0" borderId="1" xfId="0" applyFont="1" applyBorder="1" applyAlignment="1">
      <alignment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0" xfId="0" applyFont="1" applyAlignment="1">
      <alignment horizontal="center" vertical="center"/>
    </xf>
    <xf numFmtId="0" fontId="0" fillId="2" borderId="0" xfId="0" applyFill="1" applyAlignment="1">
      <alignment horizontal="center" vertical="center"/>
    </xf>
    <xf numFmtId="0" fontId="2" fillId="0" borderId="11" xfId="0" applyFont="1" applyBorder="1" applyAlignment="1">
      <alignment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2" fillId="0" borderId="16" xfId="0" applyFont="1" applyBorder="1" applyAlignment="1">
      <alignment horizontal="center" vertical="center"/>
    </xf>
    <xf numFmtId="0" fontId="2" fillId="0" borderId="12" xfId="0" applyFont="1" applyBorder="1" applyAlignment="1">
      <alignment vertical="center"/>
    </xf>
    <xf numFmtId="0" fontId="2" fillId="0" borderId="10" xfId="0" applyFont="1" applyBorder="1" applyAlignment="1">
      <alignment horizontal="center" vertical="center"/>
    </xf>
    <xf numFmtId="0" fontId="2" fillId="0" borderId="6" xfId="0" applyFont="1" applyBorder="1" applyAlignment="1">
      <alignment vertical="center"/>
    </xf>
    <xf numFmtId="0" fontId="3" fillId="0" borderId="10" xfId="0" applyFont="1" applyBorder="1" applyAlignment="1">
      <alignment horizontal="center" vertical="center"/>
    </xf>
    <xf numFmtId="0" fontId="3" fillId="0" borderId="17" xfId="0" applyFont="1" applyBorder="1" applyAlignment="1">
      <alignment horizontal="center" vertical="center"/>
    </xf>
    <xf numFmtId="0" fontId="2" fillId="0" borderId="8" xfId="0" applyFont="1" applyBorder="1" applyAlignment="1">
      <alignment vertical="center"/>
    </xf>
    <xf numFmtId="0" fontId="2" fillId="0" borderId="9" xfId="0" applyFont="1" applyBorder="1" applyAlignme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5" xfId="0" applyBorder="1" applyAlignment="1">
      <alignment horizontal="center" vertical="center"/>
    </xf>
    <xf numFmtId="0" fontId="1" fillId="0" borderId="25" xfId="0" applyFont="1" applyBorder="1" applyAlignment="1">
      <alignment vertical="center"/>
    </xf>
    <xf numFmtId="0" fontId="1" fillId="0" borderId="26" xfId="0" applyFont="1" applyBorder="1" applyAlignment="1">
      <alignment vertical="center"/>
    </xf>
    <xf numFmtId="49" fontId="5" fillId="0" borderId="13" xfId="0" applyNumberFormat="1" applyFont="1" applyBorder="1" applyAlignment="1">
      <alignment horizontal="center" vertical="center"/>
    </xf>
    <xf numFmtId="49" fontId="0" fillId="0" borderId="13" xfId="0" applyNumberFormat="1" applyBorder="1" applyAlignment="1">
      <alignment horizontal="center" vertical="center"/>
    </xf>
    <xf numFmtId="1" fontId="0" fillId="0" borderId="0" xfId="0" applyNumberFormat="1" applyAlignment="1">
      <alignment horizontal="center" vertical="center"/>
    </xf>
    <xf numFmtId="0" fontId="4" fillId="0" borderId="27" xfId="0" applyFont="1" applyBorder="1" applyAlignment="1">
      <alignment vertical="center"/>
    </xf>
    <xf numFmtId="0" fontId="4" fillId="0" borderId="28" xfId="0" applyFont="1" applyBorder="1" applyAlignment="1">
      <alignment vertical="center"/>
    </xf>
    <xf numFmtId="0" fontId="0" fillId="0" borderId="1" xfId="0" applyBorder="1" applyAlignment="1">
      <alignment vertical="center"/>
    </xf>
    <xf numFmtId="0" fontId="4" fillId="0" borderId="0" xfId="0" applyFont="1" applyAlignment="1">
      <alignment vertical="center"/>
    </xf>
    <xf numFmtId="49" fontId="0" fillId="0" borderId="0" xfId="0" applyNumberFormat="1"/>
    <xf numFmtId="0" fontId="7" fillId="0" borderId="0" xfId="0" applyFont="1" applyAlignment="1">
      <alignment horizontal="left"/>
    </xf>
    <xf numFmtId="0" fontId="0" fillId="0" borderId="0" xfId="0" quotePrefix="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1" fillId="0" borderId="39" xfId="0" applyFont="1" applyBorder="1" applyAlignment="1">
      <alignment vertical="center"/>
    </xf>
    <xf numFmtId="0" fontId="6" fillId="0" borderId="43" xfId="0" applyFont="1" applyBorder="1" applyAlignment="1">
      <alignment vertical="center"/>
    </xf>
    <xf numFmtId="0" fontId="6" fillId="0" borderId="44" xfId="0" applyFont="1" applyBorder="1" applyAlignment="1">
      <alignment vertical="center"/>
    </xf>
    <xf numFmtId="49" fontId="5" fillId="0" borderId="1" xfId="0" applyNumberFormat="1" applyFont="1" applyBorder="1" applyAlignment="1">
      <alignment horizontal="left" vertical="center"/>
    </xf>
    <xf numFmtId="49" fontId="0" fillId="0" borderId="1" xfId="0" applyNumberFormat="1" applyBorder="1" applyAlignment="1">
      <alignment horizontal="left" vertical="center"/>
    </xf>
    <xf numFmtId="0" fontId="8" fillId="0" borderId="0" xfId="0" applyFont="1" applyAlignment="1">
      <alignment horizontal="center"/>
    </xf>
    <xf numFmtId="0" fontId="10" fillId="0" borderId="0" xfId="0" applyFont="1"/>
    <xf numFmtId="0" fontId="11" fillId="5" borderId="0" xfId="0" applyFont="1" applyFill="1" applyAlignment="1">
      <alignment vertical="center"/>
    </xf>
    <xf numFmtId="0" fontId="4" fillId="0" borderId="45" xfId="0" applyFont="1" applyBorder="1" applyAlignment="1">
      <alignment vertical="center"/>
    </xf>
    <xf numFmtId="0" fontId="11" fillId="5" borderId="1" xfId="0" applyFont="1" applyFill="1" applyBorder="1" applyAlignment="1">
      <alignment vertical="center"/>
    </xf>
    <xf numFmtId="1" fontId="0" fillId="0" borderId="1" xfId="0" applyNumberFormat="1" applyBorder="1" applyAlignment="1">
      <alignment horizontal="center" vertical="center"/>
    </xf>
    <xf numFmtId="1" fontId="0" fillId="0" borderId="1" xfId="0" applyNumberFormat="1" applyBorder="1" applyAlignment="1">
      <alignment vertical="center"/>
    </xf>
    <xf numFmtId="0" fontId="12" fillId="6" borderId="0" xfId="0" applyFont="1" applyFill="1" applyAlignment="1">
      <alignment vertical="center"/>
    </xf>
    <xf numFmtId="164" fontId="0" fillId="0" borderId="0" xfId="0" applyNumberFormat="1"/>
    <xf numFmtId="0" fontId="13" fillId="4" borderId="1" xfId="0" applyFont="1" applyFill="1" applyBorder="1" applyAlignment="1">
      <alignment vertical="center"/>
    </xf>
    <xf numFmtId="0" fontId="11" fillId="4" borderId="1" xfId="0" applyFont="1" applyFill="1" applyBorder="1" applyAlignment="1">
      <alignment vertical="center"/>
    </xf>
    <xf numFmtId="16" fontId="0" fillId="0" borderId="0" xfId="0" applyNumberFormat="1"/>
    <xf numFmtId="164" fontId="0" fillId="3" borderId="0" xfId="0" applyNumberFormat="1" applyFill="1" applyAlignment="1">
      <alignment horizontal="left" vertical="center"/>
    </xf>
    <xf numFmtId="49" fontId="5" fillId="7" borderId="13" xfId="0" applyNumberFormat="1" applyFont="1" applyFill="1" applyBorder="1" applyAlignment="1">
      <alignment horizontal="center" vertical="center"/>
    </xf>
    <xf numFmtId="49" fontId="5" fillId="7" borderId="1" xfId="0" applyNumberFormat="1" applyFont="1" applyFill="1" applyBorder="1" applyAlignment="1">
      <alignment horizontal="left" vertical="center"/>
    </xf>
    <xf numFmtId="0" fontId="0" fillId="7" borderId="1" xfId="0" applyFill="1" applyBorder="1" applyAlignment="1">
      <alignment vertical="center"/>
    </xf>
    <xf numFmtId="1" fontId="0" fillId="7" borderId="0" xfId="0" applyNumberFormat="1" applyFill="1" applyAlignment="1">
      <alignment horizontal="center" vertical="center"/>
    </xf>
    <xf numFmtId="49" fontId="5" fillId="7" borderId="24" xfId="0" applyNumberFormat="1" applyFont="1" applyFill="1" applyBorder="1" applyAlignment="1">
      <alignment horizontal="center" vertical="center"/>
    </xf>
    <xf numFmtId="49" fontId="5" fillId="7" borderId="4" xfId="0" applyNumberFormat="1" applyFont="1" applyFill="1" applyBorder="1" applyAlignment="1">
      <alignment horizontal="left" vertical="center"/>
    </xf>
    <xf numFmtId="0" fontId="0" fillId="7" borderId="4" xfId="0" applyFill="1" applyBorder="1" applyAlignment="1">
      <alignment vertical="center"/>
    </xf>
    <xf numFmtId="0" fontId="18" fillId="0" borderId="0" xfId="0" applyFont="1"/>
    <xf numFmtId="0" fontId="4" fillId="0" borderId="46" xfId="0" applyFont="1" applyBorder="1"/>
    <xf numFmtId="0" fontId="0" fillId="0" borderId="46" xfId="0" applyBorder="1"/>
    <xf numFmtId="0" fontId="4" fillId="0" borderId="46" xfId="0" applyFont="1" applyBorder="1" applyAlignment="1">
      <alignment horizontal="center"/>
    </xf>
    <xf numFmtId="0" fontId="0" fillId="0" borderId="40" xfId="0" applyBorder="1"/>
    <xf numFmtId="0" fontId="0" fillId="0" borderId="47" xfId="0" applyBorder="1"/>
    <xf numFmtId="16" fontId="0" fillId="0" borderId="47" xfId="0" applyNumberFormat="1" applyBorder="1"/>
    <xf numFmtId="0" fontId="0" fillId="0" borderId="41" xfId="0" applyBorder="1"/>
    <xf numFmtId="0" fontId="0" fillId="0" borderId="28" xfId="0" applyBorder="1"/>
    <xf numFmtId="0" fontId="0" fillId="0" borderId="48" xfId="0" applyBorder="1"/>
    <xf numFmtId="0" fontId="0" fillId="0" borderId="49" xfId="0" applyBorder="1"/>
    <xf numFmtId="0" fontId="0" fillId="0" borderId="39" xfId="0" applyBorder="1"/>
    <xf numFmtId="16" fontId="0" fillId="0" borderId="39" xfId="0" applyNumberFormat="1" applyBorder="1"/>
    <xf numFmtId="0" fontId="0" fillId="0" borderId="50" xfId="0" applyBorder="1"/>
    <xf numFmtId="0" fontId="8" fillId="0" borderId="40" xfId="0" applyFont="1" applyBorder="1" applyAlignment="1">
      <alignment horizontal="center"/>
    </xf>
    <xf numFmtId="0" fontId="8" fillId="0" borderId="41" xfId="0" applyFont="1" applyBorder="1" applyAlignment="1">
      <alignment horizontal="center"/>
    </xf>
    <xf numFmtId="0" fontId="6" fillId="0" borderId="29" xfId="0" applyFont="1" applyBorder="1" applyAlignment="1">
      <alignment vertical="center"/>
    </xf>
    <xf numFmtId="0" fontId="6" fillId="0" borderId="42" xfId="0" applyFont="1" applyBorder="1" applyAlignment="1">
      <alignment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0" borderId="14"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cellXfs>
  <cellStyles count="1">
    <cellStyle name="Normal" xfId="0" builtinId="0"/>
  </cellStyles>
  <dxfs count="33">
    <dxf>
      <font>
        <b val="0"/>
        <i val="0"/>
        <color rgb="FFFF0000"/>
      </font>
    </dxf>
    <dxf>
      <fill>
        <patternFill patternType="none">
          <bgColor auto="1"/>
        </patternFill>
      </fill>
      <border>
        <left style="thin">
          <color auto="1"/>
        </left>
        <right style="thin">
          <color auto="1"/>
        </right>
        <top style="thin">
          <color auto="1"/>
        </top>
        <bottom style="thin">
          <color auto="1"/>
        </bottom>
      </border>
    </dxf>
    <dxf>
      <fill>
        <patternFill>
          <bgColor theme="0" tint="-0.14996795556505021"/>
        </patternFill>
      </fill>
    </dxf>
    <dxf>
      <fill>
        <patternFill>
          <bgColor theme="3" tint="0.59996337778862885"/>
        </patternFill>
      </fill>
    </dxf>
    <dxf>
      <fill>
        <patternFill>
          <bgColor theme="6" tint="0.39994506668294322"/>
        </patternFill>
      </fill>
    </dxf>
    <dxf>
      <fill>
        <patternFill>
          <bgColor theme="5" tint="0.59996337778862885"/>
        </patternFill>
      </fill>
    </dxf>
    <dxf>
      <font>
        <b/>
        <i val="0"/>
        <color auto="1"/>
      </font>
      <fill>
        <gradientFill>
          <stop position="0">
            <color theme="0"/>
          </stop>
          <stop position="1">
            <color theme="5" tint="0.40000610370189521"/>
          </stop>
        </gradientFill>
      </fill>
      <border>
        <left style="thin">
          <color rgb="FFFF0000"/>
        </left>
        <right style="thin">
          <color rgb="FFFF0000"/>
        </right>
        <top style="thin">
          <color rgb="FFFF0000"/>
        </top>
        <bottom style="thin">
          <color rgb="FFFF0000"/>
        </bottom>
      </border>
    </dxf>
    <dxf>
      <fill>
        <patternFill>
          <bgColor rgb="FF7030A0"/>
        </patternFill>
      </fill>
    </dxf>
    <dxf>
      <fill>
        <patternFill>
          <bgColor rgb="FF68B8CE"/>
        </patternFill>
      </fill>
    </dxf>
    <dxf>
      <fill>
        <patternFill>
          <bgColor theme="8" tint="0.59996337778862885"/>
        </patternFill>
      </fill>
    </dxf>
    <dxf>
      <fill>
        <patternFill>
          <bgColor rgb="FFE8F5F8"/>
        </patternFill>
      </fill>
    </dxf>
    <dxf>
      <font>
        <b/>
        <i val="0"/>
        <color auto="1"/>
      </font>
      <fill>
        <gradientFill>
          <stop position="0">
            <color theme="0"/>
          </stop>
          <stop position="1">
            <color theme="5" tint="0.40000610370189521"/>
          </stop>
        </gradientFill>
      </fill>
      <border>
        <left style="thin">
          <color rgb="FFFF0000"/>
        </left>
        <right style="thin">
          <color rgb="FFFF0000"/>
        </right>
        <top style="thin">
          <color rgb="FFFF0000"/>
        </top>
        <bottom style="thin">
          <color rgb="FFFF0000"/>
        </bottom>
      </border>
    </dxf>
    <dxf>
      <font>
        <b/>
        <i val="0"/>
        <color auto="1"/>
      </font>
      <fill>
        <gradientFill>
          <stop position="0">
            <color theme="0"/>
          </stop>
          <stop position="1">
            <color theme="5" tint="0.40000610370189521"/>
          </stop>
        </gradientFill>
      </fill>
      <border>
        <left style="thin">
          <color rgb="FFFF0000"/>
        </left>
        <right style="thin">
          <color rgb="FFFF0000"/>
        </right>
        <top style="thin">
          <color rgb="FFFF0000"/>
        </top>
        <bottom style="thin">
          <color rgb="FFFF0000"/>
        </bottom>
      </border>
    </dxf>
    <dxf>
      <numFmt numFmtId="164" formatCode="0;\-0;;@"/>
      <fill>
        <patternFill patternType="solid">
          <fgColor indexed="64"/>
          <bgColor rgb="FFFEF9B4"/>
        </patternFill>
      </fill>
      <alignment horizontal="left"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numFmt numFmtId="30" formatCode="@"/>
      <alignment horizontal="center" vertical="center" textRotation="0" wrapText="0" indent="0" justifyLastLine="0" shrinkToFit="0" readingOrder="0"/>
      <border diagonalUp="0" diagonalDown="0" outline="0">
        <left/>
        <right/>
        <top style="thin">
          <color indexed="64"/>
        </top>
        <bottom style="thin">
          <color indexed="64"/>
        </bottom>
      </border>
    </dxf>
    <dxf>
      <border outline="0">
        <left style="medium">
          <color rgb="FF000000"/>
        </left>
        <right style="medium">
          <color rgb="FF000000"/>
        </right>
        <top style="medium">
          <color rgb="FF000000"/>
        </top>
        <bottom style="medium">
          <color rgb="FF000000"/>
        </bottom>
      </border>
    </dxf>
    <dxf>
      <alignment horizontal="center" vertical="center"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medium">
          <color indexed="64"/>
        </left>
        <right style="medium">
          <color indexed="64"/>
        </right>
        <top/>
        <bottom/>
      </border>
    </dxf>
  </dxfs>
  <tableStyles count="0" defaultTableStyle="TableStyleMedium9" defaultPivotStyle="PivotStyleLight16"/>
  <colors>
    <mruColors>
      <color rgb="FFFEF9B4"/>
      <color rgb="FF2E798E"/>
      <color rgb="FFE8F5F8"/>
      <color rgb="FF68B8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2.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63" Type="http://schemas.openxmlformats.org/officeDocument/2006/relationships/customXml" Target="../customXml/item1.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theme" Target="theme/theme1.xml"/><Relationship Id="rId66" Type="http://schemas.openxmlformats.org/officeDocument/2006/relationships/customXml" Target="../customXml/item4.xml"/><Relationship Id="rId5" Type="http://schemas.openxmlformats.org/officeDocument/2006/relationships/externalLink" Target="externalLinks/externalLink1.xml"/><Relationship Id="rId61" Type="http://schemas.openxmlformats.org/officeDocument/2006/relationships/sheetMetadata" Target="metadata.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64" Type="http://schemas.openxmlformats.org/officeDocument/2006/relationships/customXml" Target="../customXml/item2.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styles" Target="styles.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pivotCacheDefinition" Target="pivotCache/pivotCacheDefinition1.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sharedStrings" Target="sharedString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1.xlsx" TargetMode="External"/><Relationship Id="rId1" Type="http://schemas.openxmlformats.org/officeDocument/2006/relationships/externalLinkPath" Target="Planillas/Disco%20205-UY12%20Planilla%20de%20registro%20de%20visita%20D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2.xlsx" TargetMode="External"/><Relationship Id="rId1" Type="http://schemas.openxmlformats.org/officeDocument/2006/relationships/externalLinkPath" Target="Planillas/Disco%20205-UY12%20Planilla%20de%20registro%20de%20visita%20D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3.xlsx" TargetMode="External"/><Relationship Id="rId1" Type="http://schemas.openxmlformats.org/officeDocument/2006/relationships/externalLinkPath" Target="Planillas/Disco%20205-UY12%20Planilla%20de%20registro%20de%20visita%20D0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4.xlsx" TargetMode="External"/><Relationship Id="rId1" Type="http://schemas.openxmlformats.org/officeDocument/2006/relationships/externalLinkPath" Target="Planillas/Disco%20205-UY12%20Planilla%20de%20registro%20de%20visita%20D04.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5.xlsx" TargetMode="External"/><Relationship Id="rId1" Type="http://schemas.openxmlformats.org/officeDocument/2006/relationships/externalLinkPath" Target="Planillas/Disco%20205-UY12%20Planilla%20de%20registro%20de%20visita%20D05.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6.xlsx" TargetMode="External"/><Relationship Id="rId1" Type="http://schemas.openxmlformats.org/officeDocument/2006/relationships/externalLinkPath" Target="Planillas/Disco%20205-UY12%20Planilla%20de%20registro%20de%20visita%20D06.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7.xlsx" TargetMode="External"/><Relationship Id="rId1" Type="http://schemas.openxmlformats.org/officeDocument/2006/relationships/externalLinkPath" Target="Planillas/Disco%20205-UY12%20Planilla%20de%20registro%20de%20visita%20D07.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8.xlsx" TargetMode="External"/><Relationship Id="rId1" Type="http://schemas.openxmlformats.org/officeDocument/2006/relationships/externalLinkPath" Target="Planillas/Disco%20205-UY12%20Planilla%20de%20registro%20de%20visita%20D08.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09.xlsx" TargetMode="External"/><Relationship Id="rId1" Type="http://schemas.openxmlformats.org/officeDocument/2006/relationships/externalLinkPath" Target="Planillas/Disco%20205-UY12%20Planilla%20de%20registro%20de%20visita%20D09.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0.xlsx" TargetMode="External"/><Relationship Id="rId1" Type="http://schemas.openxmlformats.org/officeDocument/2006/relationships/externalLinkPath" Target="Planillas/Disco%20205-UY12%20Planilla%20de%20registro%20de%20visita%20D10.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1.xlsx" TargetMode="External"/><Relationship Id="rId1" Type="http://schemas.openxmlformats.org/officeDocument/2006/relationships/externalLinkPath" Target="Planillas/Disco%20205-UY12%20Planilla%20de%20registro%20de%20visita%20D11.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2.xlsx" TargetMode="External"/><Relationship Id="rId1" Type="http://schemas.openxmlformats.org/officeDocument/2006/relationships/externalLinkPath" Target="Planillas/Disco%20205-UY12%20Planilla%20de%20registro%20de%20visita%20D12.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3.xlsx" TargetMode="External"/><Relationship Id="rId1" Type="http://schemas.openxmlformats.org/officeDocument/2006/relationships/externalLinkPath" Target="Planillas/Disco%20205-UY12%20Planilla%20de%20registro%20de%20visita%20D13.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4.xlsx" TargetMode="External"/><Relationship Id="rId1" Type="http://schemas.openxmlformats.org/officeDocument/2006/relationships/externalLinkPath" Target="Planillas/Disco%20205-UY12%20Planilla%20de%20registro%20de%20visita%20D14.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5.xlsx" TargetMode="External"/><Relationship Id="rId1" Type="http://schemas.openxmlformats.org/officeDocument/2006/relationships/externalLinkPath" Target="Planillas/Disco%20205-UY12%20Planilla%20de%20registro%20de%20visita%20D15.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6.xlsx" TargetMode="External"/><Relationship Id="rId1" Type="http://schemas.openxmlformats.org/officeDocument/2006/relationships/externalLinkPath" Target="Planillas/Disco%20205-UY12%20Planilla%20de%20registro%20de%20visita%20D16.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7.xlsx" TargetMode="External"/><Relationship Id="rId1" Type="http://schemas.openxmlformats.org/officeDocument/2006/relationships/externalLinkPath" Target="Planillas/Disco%20205-UY12%20Planilla%20de%20registro%20de%20visita%20D17.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8.xlsx" TargetMode="External"/><Relationship Id="rId1" Type="http://schemas.openxmlformats.org/officeDocument/2006/relationships/externalLinkPath" Target="Planillas/Disco%20205-UY12%20Planilla%20de%20registro%20de%20visita%20D18.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19.xlsx" TargetMode="External"/><Relationship Id="rId1" Type="http://schemas.openxmlformats.org/officeDocument/2006/relationships/externalLinkPath" Target="Planillas/Disco%20205-UY12%20Planilla%20de%20registro%20de%20visita%20D19.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0.xlsx" TargetMode="External"/><Relationship Id="rId1" Type="http://schemas.openxmlformats.org/officeDocument/2006/relationships/externalLinkPath" Target="Planillas/Disco%20205-UY12%20Planilla%20de%20registro%20de%20visita%20D20.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1.xlsx" TargetMode="External"/><Relationship Id="rId1" Type="http://schemas.openxmlformats.org/officeDocument/2006/relationships/externalLinkPath" Target="Planillas/Disco%20205-UY12%20Planilla%20de%20registro%20de%20visita%20D21.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2.xlsx" TargetMode="External"/><Relationship Id="rId1" Type="http://schemas.openxmlformats.org/officeDocument/2006/relationships/externalLinkPath" Target="Planillas/Disco%20205-UY12%20Planilla%20de%20registro%20de%20visita%20D22.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3.xlsx" TargetMode="External"/><Relationship Id="rId1" Type="http://schemas.openxmlformats.org/officeDocument/2006/relationships/externalLinkPath" Target="Planillas/Disco%20205-UY12%20Planilla%20de%20registro%20de%20visita%20D23.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4.xlsx" TargetMode="External"/><Relationship Id="rId1" Type="http://schemas.openxmlformats.org/officeDocument/2006/relationships/externalLinkPath" Target="Planillas/Disco%20205-UY12%20Planilla%20de%20registro%20de%20visita%20D24.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5.xlsx" TargetMode="External"/><Relationship Id="rId1" Type="http://schemas.openxmlformats.org/officeDocument/2006/relationships/externalLinkPath" Target="Planillas/Disco%20205-UY12%20Planilla%20de%20registro%20de%20visita%20D25.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6.xlsx" TargetMode="External"/><Relationship Id="rId1" Type="http://schemas.openxmlformats.org/officeDocument/2006/relationships/externalLinkPath" Target="Planillas/Disco%20205-UY12%20Planilla%20de%20registro%20de%20visita%20D26.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7.xlsx" TargetMode="External"/><Relationship Id="rId1" Type="http://schemas.openxmlformats.org/officeDocument/2006/relationships/externalLinkPath" Target="Planillas/Disco%20205-UY12%20Planilla%20de%20registro%20de%20visita%20D27.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28.xlsx" TargetMode="External"/><Relationship Id="rId1" Type="http://schemas.openxmlformats.org/officeDocument/2006/relationships/externalLinkPath" Target="Planillas/Disco%20205-UY12%20Planilla%20de%20registro%20de%20visita%20D28.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1.xlsx" TargetMode="External"/><Relationship Id="rId1" Type="http://schemas.openxmlformats.org/officeDocument/2006/relationships/externalLinkPath" Target="Planillas/Disco%20205-UY12%20Planilla%20de%20registro%20de%20visita%20DV01.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2.xlsx" TargetMode="External"/><Relationship Id="rId1" Type="http://schemas.openxmlformats.org/officeDocument/2006/relationships/externalLinkPath" Target="Planillas/Disco%20205-UY12%20Planilla%20de%20registro%20de%20visita%20DV02.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3.xlsx" TargetMode="External"/><Relationship Id="rId1" Type="http://schemas.openxmlformats.org/officeDocument/2006/relationships/externalLinkPath" Target="Planillas/Disco%20205-UY12%20Planilla%20de%20registro%20de%20visita%20DV03.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4.xlsx" TargetMode="External"/><Relationship Id="rId1" Type="http://schemas.openxmlformats.org/officeDocument/2006/relationships/externalLinkPath" Target="Planillas/Disco%20205-UY12%20Planilla%20de%20registro%20de%20visita%20DV04.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5.xlsx" TargetMode="External"/><Relationship Id="rId1" Type="http://schemas.openxmlformats.org/officeDocument/2006/relationships/externalLinkPath" Target="Planillas/Disco%20205-UY12%20Planilla%20de%20registro%20de%20visita%20DV05.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6.xlsx" TargetMode="External"/><Relationship Id="rId1" Type="http://schemas.openxmlformats.org/officeDocument/2006/relationships/externalLinkPath" Target="Planillas/Disco%20205-UY12%20Planilla%20de%20registro%20de%20visita%20DV06.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7.xlsx" TargetMode="External"/><Relationship Id="rId1" Type="http://schemas.openxmlformats.org/officeDocument/2006/relationships/externalLinkPath" Target="Planillas/Disco%20205-UY12%20Planilla%20de%20registro%20de%20visita%20DV07.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8.xlsx" TargetMode="External"/><Relationship Id="rId1" Type="http://schemas.openxmlformats.org/officeDocument/2006/relationships/externalLinkPath" Target="Planillas/Disco%20205-UY12%20Planilla%20de%20registro%20de%20visita%20DV08.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09.xlsx" TargetMode="External"/><Relationship Id="rId1" Type="http://schemas.openxmlformats.org/officeDocument/2006/relationships/externalLinkPath" Target="Planillas/Disco%20205-UY12%20Planilla%20de%20registro%20de%20visita%20DV09.xlsx"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0.xlsx" TargetMode="External"/><Relationship Id="rId1" Type="http://schemas.openxmlformats.org/officeDocument/2006/relationships/externalLinkPath" Target="Planillas/Disco%20205-UY12%20Planilla%20de%20registro%20de%20visita%20DV10.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1.xlsx" TargetMode="External"/><Relationship Id="rId1" Type="http://schemas.openxmlformats.org/officeDocument/2006/relationships/externalLinkPath" Target="Planillas/Disco%20205-UY12%20Planilla%20de%20registro%20de%20visita%20DV11.xlsx"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2.xlsx" TargetMode="External"/><Relationship Id="rId1" Type="http://schemas.openxmlformats.org/officeDocument/2006/relationships/externalLinkPath" Target="Planillas/Disco%20205-UY12%20Planilla%20de%20registro%20de%20visita%20DV12.xlsx"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3.xlsx" TargetMode="External"/><Relationship Id="rId1" Type="http://schemas.openxmlformats.org/officeDocument/2006/relationships/externalLinkPath" Target="Planillas/Disco%20205-UY12%20Planilla%20de%20registro%20de%20visita%20DV13.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4.xlsx" TargetMode="External"/><Relationship Id="rId1" Type="http://schemas.openxmlformats.org/officeDocument/2006/relationships/externalLinkPath" Target="Planillas/Disco%20205-UY12%20Planilla%20de%20registro%20de%20visita%20DV14.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5.xlsx" TargetMode="External"/><Relationship Id="rId1" Type="http://schemas.openxmlformats.org/officeDocument/2006/relationships/externalLinkPath" Target="Planillas/Disco%20205-UY12%20Planilla%20de%20registro%20de%20visita%20DV15.xlsx"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6.xlsx" TargetMode="External"/><Relationship Id="rId1" Type="http://schemas.openxmlformats.org/officeDocument/2006/relationships/externalLinkPath" Target="Planillas/Disco%20205-UY12%20Planilla%20de%20registro%20de%20visita%20DV16.xlsx"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8.xlsx" TargetMode="External"/><Relationship Id="rId1" Type="http://schemas.openxmlformats.org/officeDocument/2006/relationships/externalLinkPath" Target="Planillas/Disco%20205-UY12%20Planilla%20de%20registro%20de%20visita%20DV18.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19.xlsx" TargetMode="External"/><Relationship Id="rId1" Type="http://schemas.openxmlformats.org/officeDocument/2006/relationships/externalLinkPath" Target="Planillas/Disco%20205-UY12%20Planilla%20de%20registro%20de%20visita%20DV19.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20.xlsx" TargetMode="External"/><Relationship Id="rId1" Type="http://schemas.openxmlformats.org/officeDocument/2006/relationships/externalLinkPath" Target="Planillas/Disco%20205-UY12%20Planilla%20de%20registro%20de%20visita%20DV20.xlsx"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21.xlsx" TargetMode="External"/><Relationship Id="rId1" Type="http://schemas.openxmlformats.org/officeDocument/2006/relationships/externalLinkPath" Target="Planillas/Disco%20205-UY12%20Planilla%20de%20registro%20de%20visita%20DV21.xlsx"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22.xlsx" TargetMode="External"/><Relationship Id="rId1" Type="http://schemas.openxmlformats.org/officeDocument/2006/relationships/externalLinkPath" Target="Planillas/Disco%20205-UY12%20Planilla%20de%20registro%20de%20visita%20DV22.xlsx"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23.xlsx" TargetMode="External"/><Relationship Id="rId1" Type="http://schemas.openxmlformats.org/officeDocument/2006/relationships/externalLinkPath" Target="Planillas/Disco%20205-UY12%20Planilla%20de%20registro%20de%20visita%20DV23.xlsx"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24.xlsx" TargetMode="External"/><Relationship Id="rId1" Type="http://schemas.openxmlformats.org/officeDocument/2006/relationships/externalLinkPath" Target="Planillas/Disco%20205-UY12%20Planilla%20de%20registro%20de%20visita%20DV24.xlsx"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https://creativeuy.sharepoint.com/sites/Creative/Documentos%20compartidos/Proyectos/DISCO/Disco%20205-UY12/Informaci&#243;n%20general/Planillas/Disco%20205-UY12%20Planilla%20de%20registro%20de%20visita%20DV25.xlsx" TargetMode="External"/><Relationship Id="rId1" Type="http://schemas.openxmlformats.org/officeDocument/2006/relationships/externalLinkPath" Target="Planillas/Disco%20205-UY12%20Planilla%20de%20registro%20de%20visita%20DV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UG37PPPEEXFCY7O3TCH47MFSH">
      <xxl21:absoluteUrl r:id="rId2"/>
    </xxl21:alternateUrls>
    <sheetNames>
      <sheetName val="Informe"/>
      <sheetName val="EQUIPO"/>
      <sheetName val="MINISPLITS"/>
    </sheetNames>
    <sheetDataSet>
      <sheetData sheetId="0">
        <row r="5">
          <cell r="B5" t="str">
            <v>SUCURSAL:</v>
          </cell>
          <cell r="C5" t="str">
            <v>DISCO 01</v>
          </cell>
          <cell r="D5"/>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D01_R_01</v>
          </cell>
          <cell r="C13">
            <v>1</v>
          </cell>
          <cell r="D13">
            <v>2</v>
          </cell>
        </row>
        <row r="14">
          <cell r="B14" t="str">
            <v>D01_R_02</v>
          </cell>
          <cell r="C14">
            <v>1</v>
          </cell>
          <cell r="D14">
            <v>2</v>
          </cell>
        </row>
        <row r="15">
          <cell r="B15" t="str">
            <v>D01_R_03</v>
          </cell>
          <cell r="C15">
            <v>2</v>
          </cell>
          <cell r="D15">
            <v>1</v>
          </cell>
        </row>
        <row r="16">
          <cell r="B16" t="str">
            <v>D01_R_04</v>
          </cell>
          <cell r="C16">
            <v>1</v>
          </cell>
          <cell r="D16">
            <v>2</v>
          </cell>
        </row>
        <row r="17">
          <cell r="B17" t="str">
            <v>D01_R_05</v>
          </cell>
          <cell r="C17">
            <v>1</v>
          </cell>
          <cell r="D17">
            <v>1</v>
          </cell>
        </row>
        <row r="18">
          <cell r="B18" t="str">
            <v>D01_R_06</v>
          </cell>
          <cell r="C18">
            <v>1</v>
          </cell>
          <cell r="D18">
            <v>2</v>
          </cell>
        </row>
        <row r="19">
          <cell r="B19" t="str">
            <v>D01_S_01</v>
          </cell>
          <cell r="C19">
            <v>3</v>
          </cell>
          <cell r="D19">
            <v>3</v>
          </cell>
        </row>
        <row r="20">
          <cell r="B20" t="str">
            <v>D01_S_02</v>
          </cell>
          <cell r="C20">
            <v>3</v>
          </cell>
          <cell r="D20">
            <v>2</v>
          </cell>
        </row>
        <row r="21">
          <cell r="B21" t="str">
            <v>D01_S_03</v>
          </cell>
          <cell r="C21">
            <v>3</v>
          </cell>
          <cell r="D21">
            <v>3</v>
          </cell>
        </row>
        <row r="22">
          <cell r="B22"/>
          <cell r="D22"/>
        </row>
        <row r="23">
          <cell r="B23" t="str">
            <v>Comentarios:</v>
          </cell>
          <cell r="C23"/>
          <cell r="D23"/>
        </row>
        <row r="24">
          <cell r="B24" t="str">
            <v>R_01</v>
          </cell>
          <cell r="C24" t="str">
            <v>Retirar compresores fuera de servicio.</v>
          </cell>
          <cell r="D24"/>
        </row>
        <row r="25">
          <cell r="B25" t="str">
            <v>R_01</v>
          </cell>
          <cell r="C25" t="str">
            <v>Acceso a rotor tapado con placa de cartón.</v>
          </cell>
          <cell r="D25"/>
        </row>
        <row r="26">
          <cell r="B26" t="str">
            <v>R_01</v>
          </cell>
          <cell r="C26" t="str">
            <v>Intercambiador exterior completamente congelado.</v>
          </cell>
          <cell r="D26"/>
        </row>
        <row r="27">
          <cell r="B27" t="str">
            <v>R_02</v>
          </cell>
          <cell r="C27" t="str">
            <v>Intercambiador exterior parcialmente congelado.</v>
          </cell>
          <cell r="D27"/>
        </row>
        <row r="28">
          <cell r="B28" t="str">
            <v>R_02</v>
          </cell>
          <cell r="C28" t="str">
            <v>Tapa de gabinete abollada.</v>
          </cell>
          <cell r="D28"/>
        </row>
        <row r="29">
          <cell r="B29" t="str">
            <v>R_02</v>
          </cell>
          <cell r="C29" t="str">
            <v>Ductos abollados y con aislación rota.</v>
          </cell>
          <cell r="D29"/>
        </row>
        <row r="30">
          <cell r="B30" t="str">
            <v>R_03</v>
          </cell>
          <cell r="C30" t="str">
            <v>Gabinete en estado avanzado de oxidación. Presenta roturas.</v>
          </cell>
          <cell r="D30"/>
        </row>
        <row r="31">
          <cell r="B31" t="str">
            <v>R_05</v>
          </cell>
          <cell r="C31" t="str">
            <v>Gabinete en estado avanzado de oxidación. Presenta roturas.</v>
          </cell>
          <cell r="D31"/>
        </row>
        <row r="32">
          <cell r="B32" t="str">
            <v>R_06</v>
          </cell>
          <cell r="C32" t="str">
            <v>Agua de condensación cae por gabinete hacia azotea.</v>
          </cell>
          <cell r="D32"/>
        </row>
        <row r="33">
          <cell r="B33" t="str">
            <v>R_06</v>
          </cell>
          <cell r="C33" t="str">
            <v>Ductos a la vista por aletado de intercambiador exterior roto.</v>
          </cell>
          <cell r="D33"/>
        </row>
        <row r="34">
          <cell r="B34" t="str">
            <v>S_01</v>
          </cell>
          <cell r="C34" t="str">
            <v>Intercambiador exterior muy sucio. Limpiar.</v>
          </cell>
          <cell r="D34"/>
        </row>
        <row r="35">
          <cell r="B35" t="str">
            <v>S_03</v>
          </cell>
          <cell r="C35" t="str">
            <v>Intercambiador exterior muy sucio. Limpiar.</v>
          </cell>
          <cell r="D35"/>
        </row>
        <row r="141">
          <cell r="B141" t="str">
            <v>2   ELÉCTRICA</v>
          </cell>
          <cell r="C141"/>
          <cell r="D141"/>
        </row>
        <row r="143">
          <cell r="B143" t="str">
            <v>Código</v>
          </cell>
          <cell r="C143" t="str">
            <v>Estado</v>
          </cell>
          <cell r="D143" t="str">
            <v>Mantenimiento</v>
          </cell>
        </row>
        <row r="144">
          <cell r="B144" t="str">
            <v>Generador</v>
          </cell>
          <cell r="C144" t="str">
            <v>Generador</v>
          </cell>
          <cell r="D144" t="str">
            <v>Proveedor</v>
          </cell>
        </row>
        <row r="145">
          <cell r="B145" t="str">
            <v>D01_G_01</v>
          </cell>
          <cell r="C145">
            <v>3</v>
          </cell>
          <cell r="D145">
            <v>3</v>
          </cell>
        </row>
        <row r="147">
          <cell r="B147" t="str">
            <v>GENERADOR</v>
          </cell>
          <cell r="C147"/>
          <cell r="D147" t="str">
            <v>Estado</v>
          </cell>
        </row>
        <row r="148">
          <cell r="B148" t="str">
            <v>Tanque de Combustible</v>
          </cell>
          <cell r="C148"/>
          <cell r="D148" t="str">
            <v>N/E</v>
          </cell>
        </row>
        <row r="149">
          <cell r="B149" t="str">
            <v>Batería</v>
          </cell>
          <cell r="C149"/>
          <cell r="D149" t="str">
            <v>OK</v>
          </cell>
        </row>
        <row r="150">
          <cell r="B150" t="str">
            <v>Líquido refrigerante</v>
          </cell>
          <cell r="C150"/>
          <cell r="D150" t="str">
            <v>OK</v>
          </cell>
        </row>
        <row r="151">
          <cell r="B151" t="str">
            <v>Aceite</v>
          </cell>
          <cell r="C151"/>
          <cell r="D151" t="str">
            <v>OK</v>
          </cell>
        </row>
        <row r="153">
          <cell r="B153" t="str">
            <v>Comentarios:</v>
          </cell>
          <cell r="C153" t="str">
            <v>Retirar equipos fuera de servicioen el entorno del generador.</v>
          </cell>
          <cell r="D153"/>
        </row>
        <row r="187">
          <cell r="B187" t="str">
            <v>SUBESTACIÓN</v>
          </cell>
          <cell r="C187"/>
          <cell r="D187" t="str">
            <v>Estado</v>
          </cell>
        </row>
        <row r="188">
          <cell r="B188" t="str">
            <v>Objetos extraños</v>
          </cell>
          <cell r="C188"/>
          <cell r="D188" t="str">
            <v>OK</v>
          </cell>
        </row>
        <row r="189">
          <cell r="B189" t="str">
            <v>Filtraciones de agua</v>
          </cell>
          <cell r="C189"/>
          <cell r="D189" t="str">
            <v>OK</v>
          </cell>
        </row>
        <row r="190">
          <cell r="B190" t="str">
            <v>Tableros eléctricos</v>
          </cell>
          <cell r="C190"/>
          <cell r="D190" t="str">
            <v>OK</v>
          </cell>
        </row>
        <row r="191">
          <cell r="B191" t="str">
            <v>Bancos de _x000D_condensadores</v>
          </cell>
          <cell r="C191"/>
          <cell r="D191" t="str">
            <v>OK</v>
          </cell>
        </row>
        <row r="192">
          <cell r="D192"/>
        </row>
        <row r="193">
          <cell r="B193" t="str">
            <v>Comentarios:</v>
          </cell>
          <cell r="C193" t="str">
            <v>Acometida inferior a 44°C en interruptor ABB "Aire 2" en gabinete numero uno del lado izquierdo.</v>
          </cell>
          <cell r="D193"/>
        </row>
        <row r="194">
          <cell r="B194"/>
          <cell r="C194" t="str">
            <v>Pasadoren gabinete de display de factor de potencia roto. Reparar.</v>
          </cell>
          <cell r="D194"/>
        </row>
        <row r="195">
          <cell r="B195"/>
          <cell r="C195" t="str">
            <v>Filtraciones en losa de hormigón armado sobre bandeja eléctrica y puertas de gabinete.</v>
          </cell>
          <cell r="D195"/>
        </row>
        <row r="196">
          <cell r="B196"/>
          <cell r="D196"/>
        </row>
        <row r="197">
          <cell r="B197"/>
          <cell r="D197"/>
        </row>
        <row r="198">
          <cell r="B198"/>
          <cell r="D198"/>
        </row>
        <row r="199">
          <cell r="B199"/>
          <cell r="D199"/>
        </row>
        <row r="200">
          <cell r="B200"/>
          <cell r="D200"/>
        </row>
        <row r="201">
          <cell r="B201"/>
          <cell r="D201"/>
        </row>
        <row r="202">
          <cell r="B202"/>
          <cell r="D202"/>
        </row>
        <row r="203">
          <cell r="B203"/>
          <cell r="D203"/>
        </row>
        <row r="204">
          <cell r="B204"/>
          <cell r="D204"/>
        </row>
        <row r="205">
          <cell r="B205"/>
          <cell r="D205"/>
        </row>
        <row r="206">
          <cell r="B206"/>
          <cell r="D206"/>
        </row>
        <row r="207">
          <cell r="B207"/>
          <cell r="D207"/>
        </row>
        <row r="208">
          <cell r="B208"/>
          <cell r="D208"/>
        </row>
        <row r="209">
          <cell r="B209"/>
          <cell r="D209"/>
        </row>
        <row r="210">
          <cell r="B210"/>
          <cell r="D210"/>
        </row>
        <row r="211">
          <cell r="B211"/>
          <cell r="D211"/>
        </row>
        <row r="212">
          <cell r="B212"/>
          <cell r="D212"/>
        </row>
        <row r="213">
          <cell r="B213"/>
          <cell r="D213"/>
        </row>
        <row r="214">
          <cell r="B214"/>
          <cell r="D214"/>
        </row>
        <row r="215">
          <cell r="B215"/>
          <cell r="D215"/>
        </row>
        <row r="216">
          <cell r="B216"/>
          <cell r="D216"/>
        </row>
        <row r="217">
          <cell r="B217"/>
          <cell r="D217"/>
        </row>
        <row r="218">
          <cell r="C218"/>
          <cell r="D218"/>
        </row>
        <row r="219">
          <cell r="C219"/>
          <cell r="D219"/>
        </row>
        <row r="220">
          <cell r="B220"/>
          <cell r="D220"/>
        </row>
        <row r="221">
          <cell r="B221"/>
          <cell r="D221"/>
        </row>
        <row r="222">
          <cell r="B222"/>
          <cell r="D222"/>
        </row>
        <row r="223">
          <cell r="B223"/>
          <cell r="D223"/>
        </row>
        <row r="224">
          <cell r="B224"/>
          <cell r="D224"/>
        </row>
        <row r="225">
          <cell r="B225"/>
          <cell r="D225"/>
        </row>
        <row r="226">
          <cell r="B226"/>
          <cell r="D226"/>
        </row>
        <row r="227">
          <cell r="B227"/>
          <cell r="D227"/>
        </row>
        <row r="228">
          <cell r="B228"/>
          <cell r="D228"/>
        </row>
        <row r="229">
          <cell r="B229"/>
          <cell r="D229"/>
        </row>
        <row r="230">
          <cell r="B230"/>
          <cell r="D230"/>
        </row>
        <row r="231">
          <cell r="B231"/>
          <cell r="D231"/>
        </row>
        <row r="232">
          <cell r="B232"/>
          <cell r="D232"/>
        </row>
        <row r="233">
          <cell r="B233"/>
          <cell r="D233"/>
        </row>
        <row r="234">
          <cell r="B234"/>
          <cell r="D234"/>
        </row>
        <row r="235">
          <cell r="B235"/>
          <cell r="D235"/>
        </row>
        <row r="236">
          <cell r="B236"/>
          <cell r="D236"/>
        </row>
        <row r="237">
          <cell r="B237"/>
          <cell r="D237"/>
        </row>
        <row r="238">
          <cell r="B238"/>
          <cell r="D238"/>
        </row>
        <row r="239">
          <cell r="B239"/>
          <cell r="D239"/>
        </row>
        <row r="240">
          <cell r="B240"/>
          <cell r="D240"/>
        </row>
        <row r="241">
          <cell r="B241"/>
          <cell r="D241"/>
        </row>
        <row r="242">
          <cell r="B242"/>
          <cell r="D242"/>
        </row>
        <row r="243">
          <cell r="B243"/>
          <cell r="D243"/>
        </row>
        <row r="244">
          <cell r="B244"/>
          <cell r="D244"/>
        </row>
        <row r="245">
          <cell r="B245"/>
          <cell r="D245"/>
        </row>
        <row r="246">
          <cell r="B246"/>
          <cell r="D246"/>
        </row>
        <row r="247">
          <cell r="B247"/>
          <cell r="D247"/>
        </row>
        <row r="248">
          <cell r="B248"/>
          <cell r="D248"/>
        </row>
        <row r="249">
          <cell r="B249"/>
          <cell r="D249"/>
        </row>
        <row r="250">
          <cell r="B250" t="str">
            <v>UPS</v>
          </cell>
          <cell r="C250"/>
          <cell r="D250" t="str">
            <v>Estado</v>
          </cell>
        </row>
        <row r="251">
          <cell r="B251" t="str">
            <v>UPS en línea</v>
          </cell>
          <cell r="C251"/>
          <cell r="D251" t="str">
            <v>OK</v>
          </cell>
        </row>
        <row r="252">
          <cell r="B252" t="str">
            <v>Aire acondicionado dedicado</v>
          </cell>
          <cell r="C252"/>
          <cell r="D252" t="str">
            <v>OK</v>
          </cell>
        </row>
        <row r="253">
          <cell r="B253" t="str">
            <v>Estado de carga de baterías</v>
          </cell>
          <cell r="C253"/>
          <cell r="D253" t="str">
            <v>OK</v>
          </cell>
        </row>
        <row r="254">
          <cell r="C254"/>
          <cell r="D254"/>
        </row>
        <row r="255">
          <cell r="B255" t="str">
            <v>Comentarios:</v>
          </cell>
          <cell r="C255" t="str">
            <v>Cielorraso armstrong en sala UPS con paneles rotos y salidos</v>
          </cell>
          <cell r="D255"/>
        </row>
        <row r="256">
          <cell r="C256"/>
          <cell r="D256"/>
        </row>
        <row r="257">
          <cell r="C257"/>
          <cell r="D257"/>
        </row>
        <row r="258">
          <cell r="C258"/>
          <cell r="D258"/>
        </row>
        <row r="259">
          <cell r="C259"/>
          <cell r="D259"/>
        </row>
        <row r="260">
          <cell r="C260"/>
          <cell r="D260"/>
        </row>
        <row r="261">
          <cell r="C261"/>
          <cell r="D261"/>
        </row>
        <row r="262">
          <cell r="C262"/>
          <cell r="D262"/>
        </row>
        <row r="263">
          <cell r="C263"/>
          <cell r="D263"/>
        </row>
        <row r="264">
          <cell r="C264"/>
          <cell r="D264"/>
        </row>
        <row r="265">
          <cell r="C265"/>
          <cell r="D265"/>
        </row>
        <row r="266">
          <cell r="B266"/>
          <cell r="D266"/>
        </row>
        <row r="267">
          <cell r="B267"/>
          <cell r="D267"/>
        </row>
        <row r="268">
          <cell r="B268"/>
          <cell r="D268"/>
        </row>
        <row r="269">
          <cell r="B269"/>
          <cell r="D269"/>
        </row>
        <row r="270">
          <cell r="B270"/>
          <cell r="D270"/>
        </row>
        <row r="271">
          <cell r="B271"/>
          <cell r="D271"/>
        </row>
        <row r="272">
          <cell r="B272"/>
          <cell r="D272"/>
        </row>
        <row r="273">
          <cell r="B273"/>
          <cell r="D273"/>
        </row>
        <row r="274">
          <cell r="B274" t="str">
            <v>3   GAS</v>
          </cell>
          <cell r="C274"/>
          <cell r="D274"/>
        </row>
        <row r="276">
          <cell r="B276" t="str">
            <v>GAS</v>
          </cell>
          <cell r="C276"/>
          <cell r="D276" t="str">
            <v>Estado</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66WZTJUONVY5HLCVWQ5SKPBR26">
      <xxl21:absoluteUrl r:id="rId2"/>
    </xxl21:alternateUrls>
    <sheetNames>
      <sheetName val="Informe"/>
      <sheetName val="Hoja1"/>
      <sheetName val="ROOFTOP"/>
      <sheetName val="MINISPLITS"/>
    </sheetNames>
    <sheetDataSet>
      <sheetData sheetId="0">
        <row r="4">
          <cell r="B4" t="str">
            <v>SUCURSAL:</v>
          </cell>
          <cell r="C4" t="str">
            <v>DISCO 02</v>
          </cell>
        </row>
        <row r="6">
          <cell r="B6" t="str">
            <v>1    AIRE ACONDICIONADO</v>
          </cell>
          <cell r="C6"/>
          <cell r="D6"/>
        </row>
        <row r="8">
          <cell r="B8" t="str">
            <v>CD/CI
Sucursal</v>
          </cell>
          <cell r="C8">
            <v>0.9375</v>
          </cell>
        </row>
        <row r="10">
          <cell r="B10" t="str">
            <v>Código</v>
          </cell>
          <cell r="C10"/>
          <cell r="D10" t="str">
            <v>Estado del equipo</v>
          </cell>
        </row>
        <row r="11">
          <cell r="B11" t="str">
            <v>Equipo</v>
          </cell>
          <cell r="C11" t="str">
            <v>Intercambiadores</v>
          </cell>
          <cell r="D11" t="str">
            <v>Gabinete</v>
          </cell>
        </row>
        <row r="12">
          <cell r="B12" t="str">
            <v>D02_R_01</v>
          </cell>
          <cell r="C12">
            <v>1</v>
          </cell>
          <cell r="D12">
            <v>3</v>
          </cell>
        </row>
        <row r="13">
          <cell r="B13" t="str">
            <v>D02_R_02</v>
          </cell>
          <cell r="C13">
            <v>1</v>
          </cell>
          <cell r="D13">
            <v>3</v>
          </cell>
        </row>
        <row r="14">
          <cell r="B14" t="str">
            <v>D02_R_03</v>
          </cell>
          <cell r="C14">
            <v>1</v>
          </cell>
          <cell r="D14">
            <v>3</v>
          </cell>
        </row>
        <row r="15">
          <cell r="B15" t="str">
            <v>D02_R_04</v>
          </cell>
          <cell r="C15">
            <v>1</v>
          </cell>
          <cell r="D15">
            <v>3</v>
          </cell>
        </row>
        <row r="16">
          <cell r="B16" t="str">
            <v>D02_R_06</v>
          </cell>
          <cell r="C16">
            <v>2</v>
          </cell>
          <cell r="D16">
            <v>3</v>
          </cell>
        </row>
        <row r="17">
          <cell r="B17" t="str">
            <v>D02_R_07</v>
          </cell>
          <cell r="C17">
            <v>2</v>
          </cell>
          <cell r="D17">
            <v>3</v>
          </cell>
        </row>
        <row r="18">
          <cell r="B18" t="str">
            <v>D02_S_01</v>
          </cell>
          <cell r="C18">
            <v>2</v>
          </cell>
          <cell r="D18">
            <v>3</v>
          </cell>
        </row>
        <row r="19">
          <cell r="B19" t="str">
            <v>D02_S_02</v>
          </cell>
          <cell r="C19">
            <v>2</v>
          </cell>
          <cell r="D19">
            <v>3</v>
          </cell>
        </row>
        <row r="20">
          <cell r="B20" t="str">
            <v>D02_S_03</v>
          </cell>
          <cell r="C20">
            <v>3</v>
          </cell>
          <cell r="D20">
            <v>3</v>
          </cell>
        </row>
        <row r="21">
          <cell r="B21"/>
          <cell r="D21"/>
        </row>
        <row r="22">
          <cell r="B22" t="str">
            <v>Comentarios:</v>
          </cell>
          <cell r="C22" t="str">
            <v>R_06</v>
          </cell>
          <cell r="D22" t="str">
            <v>Aisalciones en ductos rotas. Retirar materiales apoyados sobre las mismas.</v>
          </cell>
        </row>
        <row r="23">
          <cell r="B23" t="str">
            <v>R_06</v>
          </cell>
          <cell r="C23" t="str">
            <v>Fuelle en ductos comienza a rajarse. Controlar.</v>
          </cell>
          <cell r="D23"/>
        </row>
        <row r="24">
          <cell r="B24" t="str">
            <v>R_06</v>
          </cell>
          <cell r="C24" t="str">
            <v>Aletado en intercambiador exterior presenta roturas. Controlar.</v>
          </cell>
          <cell r="D24"/>
        </row>
        <row r="25">
          <cell r="B25" t="str">
            <v>R_06</v>
          </cell>
          <cell r="C25" t="str">
            <v>Desagüe no presenta sifón.</v>
          </cell>
          <cell r="D25"/>
        </row>
        <row r="26">
          <cell r="B26" t="str">
            <v>R_07</v>
          </cell>
          <cell r="C26" t="str">
            <v>Falta un forzador de aire. Colocar.</v>
          </cell>
          <cell r="D26"/>
        </row>
        <row r="27">
          <cell r="B27" t="str">
            <v>R_04</v>
          </cell>
          <cell r="C27" t="str">
            <v>Intercambiadores muy sucios. Limpiar.</v>
          </cell>
          <cell r="D27"/>
        </row>
        <row r="28">
          <cell r="B28" t="str">
            <v>R_01</v>
          </cell>
          <cell r="C28" t="str">
            <v>Aletado en intercambiador exterior presenta roturas. Controlar.</v>
          </cell>
        </row>
        <row r="29">
          <cell r="B29" t="str">
            <v>S_01</v>
          </cell>
          <cell r="C29" t="str">
            <v xml:space="preserve">Tubería y válvula de salida congeladas. </v>
          </cell>
          <cell r="D29"/>
        </row>
        <row r="30">
          <cell r="B30" t="str">
            <v>S_01/02/03</v>
          </cell>
          <cell r="C30" t="str">
            <v>Rejillas en unidades interiores sucias. Limpiar.</v>
          </cell>
          <cell r="D30"/>
        </row>
        <row r="31">
          <cell r="B31"/>
        </row>
        <row r="32">
          <cell r="B32"/>
        </row>
        <row r="33">
          <cell r="B33"/>
        </row>
        <row r="34">
          <cell r="B34"/>
        </row>
        <row r="35">
          <cell r="B35"/>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B159" t="str">
            <v>2    ELÉCTRICA</v>
          </cell>
          <cell r="C159"/>
          <cell r="D159"/>
        </row>
        <row r="161">
          <cell r="B161" t="str">
            <v>Código</v>
          </cell>
          <cell r="C161" t="str">
            <v>Estado</v>
          </cell>
          <cell r="D161" t="str">
            <v>Mantenimiento</v>
          </cell>
        </row>
        <row r="162">
          <cell r="B162" t="str">
            <v>Generador</v>
          </cell>
          <cell r="C162" t="str">
            <v>Generador</v>
          </cell>
          <cell r="D162" t="str">
            <v>Proveedor</v>
          </cell>
        </row>
        <row r="163">
          <cell r="B163" t="str">
            <v>D02_G_01</v>
          </cell>
          <cell r="C163">
            <v>2</v>
          </cell>
          <cell r="D163">
            <v>2</v>
          </cell>
        </row>
        <row r="164">
          <cell r="B164"/>
          <cell r="C164"/>
          <cell r="D164"/>
        </row>
        <row r="165">
          <cell r="B165" t="str">
            <v>GENERADOR</v>
          </cell>
          <cell r="C165"/>
          <cell r="D165" t="str">
            <v>Estado</v>
          </cell>
        </row>
        <row r="166">
          <cell r="B166" t="str">
            <v>Tanque de Combustible</v>
          </cell>
          <cell r="C166"/>
          <cell r="D166">
            <v>0.75</v>
          </cell>
        </row>
        <row r="167">
          <cell r="B167" t="str">
            <v>Batería</v>
          </cell>
          <cell r="C167"/>
          <cell r="D167" t="str">
            <v>OK</v>
          </cell>
        </row>
        <row r="168">
          <cell r="B168" t="str">
            <v>Líquido refrigerante</v>
          </cell>
          <cell r="C168"/>
          <cell r="D168" t="str">
            <v>OK</v>
          </cell>
        </row>
        <row r="169">
          <cell r="B169" t="str">
            <v>Aceite</v>
          </cell>
          <cell r="C169"/>
          <cell r="D169" t="str">
            <v>OK</v>
          </cell>
        </row>
        <row r="170">
          <cell r="D170"/>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B198" t="str">
            <v>SUBESTACIÓN</v>
          </cell>
          <cell r="C198"/>
          <cell r="D198" t="str">
            <v>Estado</v>
          </cell>
        </row>
        <row r="199">
          <cell r="B199" t="str">
            <v>Filtraciones de agua</v>
          </cell>
          <cell r="C199"/>
          <cell r="D199" t="str">
            <v>OK</v>
          </cell>
        </row>
        <row r="200">
          <cell r="B200" t="str">
            <v>Tableros eléctricos</v>
          </cell>
          <cell r="C200"/>
          <cell r="D200" t="str">
            <v>OK</v>
          </cell>
        </row>
        <row r="201">
          <cell r="B201" t="str">
            <v>Bancos de 
condensadores</v>
          </cell>
          <cell r="C201"/>
          <cell r="D201" t="str">
            <v>NO OK</v>
          </cell>
        </row>
        <row r="202">
          <cell r="D202"/>
        </row>
        <row r="203">
          <cell r="B203" t="str">
            <v>Comentarios:</v>
          </cell>
          <cell r="C203" t="str">
            <v>Display continúa mostrando valores negativos. Verificar.</v>
          </cell>
          <cell r="D203"/>
        </row>
        <row r="204">
          <cell r="D204"/>
        </row>
        <row r="205">
          <cell r="B205"/>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B243" t="str">
            <v>UPS</v>
          </cell>
          <cell r="C243"/>
          <cell r="D243" t="str">
            <v>Estado</v>
          </cell>
        </row>
        <row r="244">
          <cell r="B244" t="str">
            <v>UPS en línea</v>
          </cell>
          <cell r="C244"/>
          <cell r="D244" t="str">
            <v>OK</v>
          </cell>
        </row>
        <row r="245">
          <cell r="B245" t="str">
            <v>Aire acondicionado dedicado</v>
          </cell>
          <cell r="C245"/>
          <cell r="D245" t="str">
            <v>OK</v>
          </cell>
        </row>
        <row r="246">
          <cell r="B246" t="str">
            <v>Estado de carga de baterías</v>
          </cell>
          <cell r="C246"/>
          <cell r="D246" t="str">
            <v>OK</v>
          </cell>
        </row>
        <row r="249">
          <cell r="D249"/>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D263"/>
        </row>
        <row r="264">
          <cell r="D264"/>
        </row>
        <row r="265">
          <cell r="D265"/>
        </row>
        <row r="266">
          <cell r="B266" t="str">
            <v>3    GAS</v>
          </cell>
          <cell r="C266"/>
          <cell r="D266"/>
        </row>
        <row r="268">
          <cell r="B268" t="str">
            <v>GAS</v>
          </cell>
          <cell r="C268"/>
          <cell r="D268" t="str">
            <v>Estado</v>
          </cell>
        </row>
        <row r="269">
          <cell r="B269" t="str">
            <v>Flexibles autorizados</v>
          </cell>
          <cell r="C269"/>
          <cell r="D269" t="str">
            <v>OK</v>
          </cell>
        </row>
        <row r="270">
          <cell r="B270" t="str">
            <v>Sistema de corte por pánico</v>
          </cell>
          <cell r="C270"/>
          <cell r="D270" t="str">
            <v>NO OK</v>
          </cell>
        </row>
        <row r="271">
          <cell r="B271"/>
          <cell r="C271"/>
        </row>
        <row r="272">
          <cell r="B272" t="str">
            <v>Comentarios:</v>
          </cell>
          <cell r="C272" t="str">
            <v>Tubería de gas en depósito continúa sin pintar.</v>
          </cell>
          <cell r="D272"/>
        </row>
        <row r="273">
          <cell r="B273"/>
          <cell r="C273" t="str">
            <v>No existe botón de corte por pánico de gas en rotisería. El corte es manual.</v>
          </cell>
          <cell r="D273"/>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W3OMGJR6SYBHZNY6AWRKCYZMB">
      <xxl21:absoluteUrl r:id="rId2"/>
    </xxl21:alternateUrls>
    <sheetNames>
      <sheetName val="Informe"/>
      <sheetName val="ROOFTOP"/>
      <sheetName val="SPLITS"/>
    </sheetNames>
    <sheetDataSet>
      <sheetData sheetId="0">
        <row r="5">
          <cell r="B5" t="str">
            <v>SUCURSAL:</v>
          </cell>
          <cell r="C5" t="str">
            <v>DISCO 03</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D03_R_01</v>
          </cell>
          <cell r="C13">
            <v>1</v>
          </cell>
          <cell r="D13">
            <v>2</v>
          </cell>
        </row>
        <row r="14">
          <cell r="B14" t="str">
            <v>D03_R_02</v>
          </cell>
          <cell r="C14">
            <v>1</v>
          </cell>
          <cell r="D14">
            <v>2</v>
          </cell>
        </row>
        <row r="15">
          <cell r="B15" t="str">
            <v>D03_R_03</v>
          </cell>
          <cell r="C15">
            <v>1</v>
          </cell>
          <cell r="D15">
            <v>2</v>
          </cell>
        </row>
        <row r="16">
          <cell r="D16"/>
        </row>
        <row r="17">
          <cell r="B17" t="str">
            <v>Comentarios:</v>
          </cell>
          <cell r="C17"/>
          <cell r="D17"/>
        </row>
        <row r="18">
          <cell r="B18" t="str">
            <v>R_02</v>
          </cell>
          <cell r="C18" t="str">
            <v>Filtros sucios.</v>
          </cell>
          <cell r="D18"/>
        </row>
        <row r="19">
          <cell r="B19" t="str">
            <v>R_02</v>
          </cell>
          <cell r="C19" t="str">
            <v>Aislación rota.</v>
          </cell>
          <cell r="D19"/>
        </row>
        <row r="20">
          <cell r="B20" t="str">
            <v>R_02/03</v>
          </cell>
          <cell r="C20" t="str">
            <v>Intercambiadores interiores sucios.</v>
          </cell>
          <cell r="D20"/>
        </row>
        <row r="21">
          <cell r="B21"/>
          <cell r="C21"/>
          <cell r="D21"/>
        </row>
        <row r="22">
          <cell r="B22"/>
        </row>
        <row r="23">
          <cell r="B23"/>
        </row>
        <row r="24">
          <cell r="B24"/>
        </row>
        <row r="25">
          <cell r="B25"/>
        </row>
        <row r="26">
          <cell r="B26"/>
        </row>
        <row r="27">
          <cell r="B27"/>
        </row>
        <row r="28">
          <cell r="B28"/>
        </row>
        <row r="95">
          <cell r="B95" t="str">
            <v>2   ELÉCTRICA</v>
          </cell>
          <cell r="C95"/>
          <cell r="D95"/>
        </row>
        <row r="97">
          <cell r="B97" t="str">
            <v>Código</v>
          </cell>
          <cell r="C97" t="str">
            <v>Estado</v>
          </cell>
          <cell r="D97" t="str">
            <v>Mantenimiento</v>
          </cell>
        </row>
        <row r="98">
          <cell r="B98" t="str">
            <v>Generador</v>
          </cell>
          <cell r="C98" t="str">
            <v>Generador</v>
          </cell>
          <cell r="D98" t="str">
            <v>Proveedor</v>
          </cell>
        </row>
        <row r="99">
          <cell r="B99" t="str">
            <v>D03_G_01</v>
          </cell>
          <cell r="C99">
            <v>0</v>
          </cell>
          <cell r="D99" t="str">
            <v>-</v>
          </cell>
        </row>
        <row r="101">
          <cell r="B101" t="str">
            <v>GENERADOR</v>
          </cell>
          <cell r="C101"/>
          <cell r="D101" t="str">
            <v>Estado</v>
          </cell>
        </row>
        <row r="102">
          <cell r="B102" t="str">
            <v>Tanque de Combustible</v>
          </cell>
          <cell r="C102"/>
          <cell r="D102">
            <v>0.7</v>
          </cell>
        </row>
        <row r="103">
          <cell r="B103" t="str">
            <v>Batería</v>
          </cell>
          <cell r="C103"/>
          <cell r="D103" t="str">
            <v>OK</v>
          </cell>
        </row>
        <row r="104">
          <cell r="B104" t="str">
            <v xml:space="preserve">Liquido refrigerante </v>
          </cell>
          <cell r="C104"/>
          <cell r="D104" t="str">
            <v>OK</v>
          </cell>
        </row>
        <row r="105">
          <cell r="B105" t="str">
            <v>Lubricante</v>
          </cell>
          <cell r="C105"/>
          <cell r="D105" t="str">
            <v>OK</v>
          </cell>
        </row>
        <row r="143">
          <cell r="B143" t="str">
            <v>SUBESTACIÓN</v>
          </cell>
          <cell r="C143"/>
          <cell r="D143" t="str">
            <v>Estado</v>
          </cell>
        </row>
        <row r="144">
          <cell r="B144" t="str">
            <v>Objetos extraños</v>
          </cell>
          <cell r="C144"/>
          <cell r="D144" t="str">
            <v>OK</v>
          </cell>
        </row>
        <row r="145">
          <cell r="B145" t="str">
            <v>Filtraciones de agua</v>
          </cell>
          <cell r="C145"/>
          <cell r="D145" t="str">
            <v>OK</v>
          </cell>
        </row>
        <row r="146">
          <cell r="B146" t="str">
            <v>Tableros eléctricos</v>
          </cell>
          <cell r="C146"/>
          <cell r="D146" t="str">
            <v>OK</v>
          </cell>
        </row>
        <row r="147">
          <cell r="B147" t="str">
            <v>Bancos de _x000D_condensadores</v>
          </cell>
          <cell r="C147"/>
          <cell r="D147" t="str">
            <v>OK</v>
          </cell>
        </row>
        <row r="148">
          <cell r="D148"/>
        </row>
        <row r="149">
          <cell r="B149" t="str">
            <v>Comentarios:</v>
          </cell>
          <cell r="C149" t="str">
            <v xml:space="preserve">Acometida superiores en tres llaves tablero principal con temperatura superiores a lo habitual, verificar. </v>
          </cell>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210">
          <cell r="D210"/>
        </row>
        <row r="211">
          <cell r="D211"/>
        </row>
        <row r="212">
          <cell r="B212" t="str">
            <v>3   UPS</v>
          </cell>
          <cell r="C212"/>
          <cell r="D212"/>
        </row>
        <row r="213">
          <cell r="B213"/>
          <cell r="C213"/>
        </row>
        <row r="214">
          <cell r="B214" t="str">
            <v>UPS en línea</v>
          </cell>
          <cell r="C214"/>
          <cell r="D214" t="str">
            <v>OK</v>
          </cell>
        </row>
        <row r="215">
          <cell r="B215" t="str">
            <v>Aire acondicionado dedicado</v>
          </cell>
          <cell r="C215"/>
          <cell r="D215" t="str">
            <v>OK</v>
          </cell>
        </row>
        <row r="216">
          <cell r="B216" t="str">
            <v>Estado de carga de baterías</v>
          </cell>
          <cell r="C216"/>
          <cell r="D216" t="str">
            <v>OK</v>
          </cell>
        </row>
        <row r="217">
          <cell r="C217"/>
          <cell r="D217"/>
        </row>
        <row r="218">
          <cell r="B218" t="str">
            <v>Comentarios:</v>
          </cell>
          <cell r="C218"/>
          <cell r="D218"/>
        </row>
        <row r="236">
          <cell r="B236" t="str">
            <v>4   GAS</v>
          </cell>
          <cell r="C236"/>
          <cell r="D236"/>
        </row>
        <row r="238">
          <cell r="B238" t="str">
            <v>GAS</v>
          </cell>
          <cell r="C238"/>
          <cell r="D238" t="str">
            <v>Estado</v>
          </cell>
        </row>
        <row r="239">
          <cell r="B239" t="str">
            <v>Flexibles autorizados</v>
          </cell>
          <cell r="C239"/>
          <cell r="D239" t="str">
            <v>OK</v>
          </cell>
        </row>
        <row r="240">
          <cell r="B240" t="str">
            <v>Sistema de corte por pánico</v>
          </cell>
          <cell r="C240"/>
          <cell r="D240" t="str">
            <v>NO OK</v>
          </cell>
        </row>
        <row r="241">
          <cell r="C241"/>
          <cell r="D241"/>
        </row>
        <row r="242">
          <cell r="B242" t="str">
            <v>Comentarios:</v>
          </cell>
          <cell r="C242" t="str">
            <v>En Rotiseria y Panaderia, tramo de acometida sin pintar.</v>
          </cell>
          <cell r="D242"/>
        </row>
        <row r="243">
          <cell r="C243"/>
          <cell r="D243"/>
        </row>
        <row r="244">
          <cell r="C244"/>
          <cell r="D244"/>
        </row>
        <row r="245">
          <cell r="C245"/>
          <cell r="D245"/>
        </row>
        <row r="246">
          <cell r="C246"/>
          <cell r="D246"/>
        </row>
        <row r="247">
          <cell r="C247"/>
          <cell r="D247"/>
        </row>
        <row r="248">
          <cell r="C248"/>
          <cell r="D248"/>
        </row>
        <row r="249">
          <cell r="C249"/>
          <cell r="D249"/>
        </row>
        <row r="250">
          <cell r="C250"/>
          <cell r="D250"/>
        </row>
        <row r="251">
          <cell r="C251"/>
          <cell r="D251"/>
        </row>
        <row r="252">
          <cell r="C252"/>
          <cell r="D252"/>
        </row>
        <row r="253">
          <cell r="C253"/>
          <cell r="D253"/>
        </row>
        <row r="254">
          <cell r="C254"/>
          <cell r="D254"/>
        </row>
        <row r="255">
          <cell r="C255"/>
          <cell r="D255"/>
        </row>
        <row r="256">
          <cell r="C256"/>
          <cell r="D256"/>
        </row>
        <row r="257">
          <cell r="C257"/>
          <cell r="D257"/>
        </row>
        <row r="258">
          <cell r="C258"/>
          <cell r="D258"/>
        </row>
        <row r="259">
          <cell r="C259"/>
          <cell r="D259"/>
        </row>
        <row r="260">
          <cell r="C260"/>
          <cell r="D260"/>
        </row>
        <row r="261">
          <cell r="C261"/>
          <cell r="D261"/>
        </row>
        <row r="262">
          <cell r="C262"/>
          <cell r="D262"/>
        </row>
        <row r="263">
          <cell r="C263"/>
          <cell r="D263"/>
        </row>
        <row r="264">
          <cell r="C264"/>
          <cell r="D264"/>
        </row>
        <row r="265">
          <cell r="C265"/>
          <cell r="D265"/>
        </row>
        <row r="266">
          <cell r="C266"/>
          <cell r="D266"/>
        </row>
        <row r="267">
          <cell r="C267"/>
          <cell r="D267"/>
        </row>
        <row r="268">
          <cell r="C268"/>
          <cell r="D268"/>
        </row>
        <row r="269">
          <cell r="C269"/>
          <cell r="D269"/>
        </row>
        <row r="270">
          <cell r="C270"/>
          <cell r="D270"/>
        </row>
        <row r="271">
          <cell r="C271"/>
          <cell r="D271"/>
        </row>
        <row r="272">
          <cell r="C272"/>
          <cell r="D272"/>
        </row>
        <row r="273">
          <cell r="B273" t="str">
            <v>5   OBSERVACIONES GENERALES</v>
          </cell>
          <cell r="C273"/>
          <cell r="D273"/>
        </row>
        <row r="274">
          <cell r="C274"/>
          <cell r="D274"/>
        </row>
        <row r="275">
          <cell r="B275" t="str">
            <v>Comentarios:</v>
          </cell>
          <cell r="C275" t="str">
            <v>Realizar plataforma de acceso a R_01.</v>
          </cell>
          <cell r="D275"/>
        </row>
        <row r="276">
          <cell r="B276"/>
          <cell r="C276" t="str">
            <v>Sombreretes de ventilación rotos.</v>
          </cell>
          <cell r="D276"/>
        </row>
        <row r="277">
          <cell r="B277"/>
          <cell r="C277" t="str">
            <v>Acometida electrica por debajo de R_03 se debe canalizar.</v>
          </cell>
          <cell r="D277"/>
        </row>
        <row r="278">
          <cell r="B278"/>
          <cell r="C278"/>
          <cell r="D278"/>
        </row>
        <row r="279">
          <cell r="C279"/>
          <cell r="D279"/>
        </row>
        <row r="280">
          <cell r="C280"/>
          <cell r="D280"/>
        </row>
        <row r="281">
          <cell r="C281"/>
          <cell r="D281"/>
        </row>
        <row r="282">
          <cell r="C282"/>
          <cell r="D282"/>
        </row>
        <row r="283">
          <cell r="C283"/>
          <cell r="D283"/>
        </row>
        <row r="284">
          <cell r="C284"/>
          <cell r="D284"/>
        </row>
        <row r="285">
          <cell r="C285"/>
          <cell r="D285"/>
        </row>
        <row r="286">
          <cell r="C286"/>
          <cell r="D286"/>
        </row>
        <row r="287">
          <cell r="C287"/>
          <cell r="D287"/>
        </row>
        <row r="288">
          <cell r="C288"/>
          <cell r="D288"/>
        </row>
        <row r="289">
          <cell r="C289"/>
          <cell r="D289"/>
        </row>
        <row r="290">
          <cell r="C290"/>
          <cell r="D290"/>
        </row>
        <row r="291">
          <cell r="C291"/>
          <cell r="D291"/>
        </row>
        <row r="292">
          <cell r="C292"/>
          <cell r="D292"/>
        </row>
        <row r="293">
          <cell r="C293"/>
          <cell r="D293"/>
        </row>
        <row r="294">
          <cell r="C294"/>
          <cell r="D294"/>
        </row>
        <row r="295">
          <cell r="C295"/>
          <cell r="D295"/>
        </row>
        <row r="296">
          <cell r="C296"/>
          <cell r="D296"/>
        </row>
        <row r="297">
          <cell r="C297"/>
          <cell r="D297"/>
        </row>
        <row r="298">
          <cell r="C298"/>
          <cell r="D298"/>
        </row>
        <row r="299">
          <cell r="C299"/>
          <cell r="D299"/>
        </row>
        <row r="300">
          <cell r="C300"/>
          <cell r="D300"/>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ZGB4WIO4IFG5HZJFK6LBJLFMHO">
      <xxl21:absoluteUrl r:id="rId2"/>
    </xxl21:alternateUrls>
    <sheetNames>
      <sheetName val="Informe"/>
      <sheetName val="ROOFTOP"/>
      <sheetName val="MINISPLITS"/>
    </sheetNames>
    <sheetDataSet>
      <sheetData sheetId="0">
        <row r="5">
          <cell r="B5" t="str">
            <v>SUCURSAL:</v>
          </cell>
          <cell r="C5" t="str">
            <v>DISCO 04</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D04_R_01</v>
          </cell>
          <cell r="C13">
            <v>2</v>
          </cell>
          <cell r="D13">
            <v>3</v>
          </cell>
        </row>
        <row r="14">
          <cell r="B14" t="str">
            <v>D04_R_02</v>
          </cell>
          <cell r="C14">
            <v>2</v>
          </cell>
          <cell r="D14">
            <v>2</v>
          </cell>
        </row>
        <row r="15">
          <cell r="B15" t="str">
            <v>D04_R_03</v>
          </cell>
          <cell r="C15">
            <v>2</v>
          </cell>
          <cell r="D15">
            <v>3</v>
          </cell>
        </row>
        <row r="16">
          <cell r="B16" t="str">
            <v>D04_R_04</v>
          </cell>
          <cell r="C16">
            <v>2</v>
          </cell>
          <cell r="D16">
            <v>3</v>
          </cell>
        </row>
        <row r="17">
          <cell r="B17" t="str">
            <v>D04_S_01</v>
          </cell>
          <cell r="C17">
            <v>2</v>
          </cell>
          <cell r="D17">
            <v>3</v>
          </cell>
        </row>
        <row r="18">
          <cell r="B18" t="str">
            <v>D04_S_02</v>
          </cell>
          <cell r="C18">
            <v>2</v>
          </cell>
          <cell r="D18">
            <v>3</v>
          </cell>
        </row>
        <row r="19">
          <cell r="D19"/>
        </row>
        <row r="20">
          <cell r="B20" t="str">
            <v>Comentarios:</v>
          </cell>
          <cell r="C20" t="str">
            <v>R_01 - R_03</v>
          </cell>
          <cell r="D20" t="str">
            <v>Finalizó la instalación de los nuevos equipos. EL nuevo R_01 sustituyó a los antiguos</v>
          </cell>
        </row>
        <row r="21">
          <cell r="B21"/>
          <cell r="C21" t="str">
            <v>R_01 y R_03, mientras que el nuevo R_03 sustituye al antiguo R_04. Se renombraron todos los equipos.</v>
          </cell>
          <cell r="D21"/>
        </row>
        <row r="22">
          <cell r="B22" t="str">
            <v>S_01/S_02</v>
          </cell>
          <cell r="C22" t="str">
            <v>Intercambiadores exteriores muy sucios. Limpiar. Continúa.</v>
          </cell>
          <cell r="D22"/>
        </row>
        <row r="23">
          <cell r="B23" t="str">
            <v>R_01/02/03/04</v>
          </cell>
          <cell r="C23" t="str">
            <v>Canalizar desagües.</v>
          </cell>
          <cell r="D23"/>
        </row>
        <row r="24">
          <cell r="B24" t="str">
            <v>R_01</v>
          </cell>
          <cell r="C24" t="str">
            <v>Intercambiadores interiores y exteriores muy sucios. Lavar.</v>
          </cell>
          <cell r="D24"/>
        </row>
        <row r="25">
          <cell r="B25" t="str">
            <v>R_01</v>
          </cell>
          <cell r="C25" t="str">
            <v>Colocar filtros y tapa de filtros.</v>
          </cell>
          <cell r="D25"/>
        </row>
        <row r="26">
          <cell r="B26" t="str">
            <v>R_01</v>
          </cell>
          <cell r="C26" t="str">
            <v>Agua de condensación acumulandose dentro de gabinete.</v>
          </cell>
          <cell r="D26"/>
        </row>
        <row r="27">
          <cell r="B27" t="str">
            <v>R_01/02/03/04</v>
          </cell>
          <cell r="C27" t="str">
            <v>Difusores y rejillas de extracción de aire en salón muy sucios. Limpiar.</v>
          </cell>
          <cell r="D27"/>
        </row>
        <row r="28">
          <cell r="B28"/>
        </row>
        <row r="29">
          <cell r="B29"/>
        </row>
        <row r="117">
          <cell r="B117" t="str">
            <v>2   ELÉCTRICA</v>
          </cell>
          <cell r="C117"/>
          <cell r="D117"/>
        </row>
        <row r="119">
          <cell r="B119" t="str">
            <v>Código</v>
          </cell>
          <cell r="C119" t="str">
            <v>Estado</v>
          </cell>
          <cell r="D119" t="str">
            <v>Mantenimiento</v>
          </cell>
        </row>
        <row r="120">
          <cell r="B120" t="str">
            <v>Generador</v>
          </cell>
          <cell r="C120" t="str">
            <v>Generador</v>
          </cell>
          <cell r="D120" t="str">
            <v>Proveedor</v>
          </cell>
        </row>
        <row r="121">
          <cell r="B121" t="str">
            <v>D04_G_01</v>
          </cell>
          <cell r="C121">
            <v>3</v>
          </cell>
          <cell r="D121">
            <v>3</v>
          </cell>
        </row>
        <row r="122">
          <cell r="B122"/>
          <cell r="C122"/>
          <cell r="D122"/>
        </row>
        <row r="123">
          <cell r="B123" t="str">
            <v>GENERADOR</v>
          </cell>
          <cell r="C123"/>
          <cell r="D123" t="str">
            <v>Estado</v>
          </cell>
        </row>
        <row r="124">
          <cell r="B124" t="str">
            <v>Tanque de Combustible</v>
          </cell>
          <cell r="C124"/>
          <cell r="D124">
            <v>0.7</v>
          </cell>
        </row>
        <row r="125">
          <cell r="B125" t="str">
            <v>Batería</v>
          </cell>
          <cell r="C125"/>
          <cell r="D125" t="str">
            <v>OK</v>
          </cell>
        </row>
        <row r="126">
          <cell r="B126" t="str">
            <v>Líquido refrigerante</v>
          </cell>
          <cell r="C126"/>
          <cell r="D126" t="str">
            <v>OK</v>
          </cell>
        </row>
        <row r="127">
          <cell r="B127" t="str">
            <v>Lubricante</v>
          </cell>
          <cell r="C127"/>
          <cell r="D127" t="str">
            <v>OK</v>
          </cell>
        </row>
        <row r="128">
          <cell r="D128"/>
        </row>
        <row r="129">
          <cell r="B129" t="str">
            <v>Comentarios:</v>
          </cell>
          <cell r="C129" t="str">
            <v>Proteger correas.</v>
          </cell>
          <cell r="D129"/>
        </row>
        <row r="130">
          <cell r="B130"/>
          <cell r="C130"/>
          <cell r="D130"/>
        </row>
        <row r="165">
          <cell r="B165" t="str">
            <v>SUBESTACIÓN</v>
          </cell>
          <cell r="C165"/>
          <cell r="D165" t="str">
            <v>Estado</v>
          </cell>
        </row>
        <row r="166">
          <cell r="B166" t="str">
            <v>Objetos extraños</v>
          </cell>
          <cell r="C166"/>
          <cell r="D166" t="str">
            <v>OK</v>
          </cell>
        </row>
        <row r="167">
          <cell r="B167" t="str">
            <v>Filtraciones de agua</v>
          </cell>
          <cell r="C167"/>
          <cell r="D167" t="str">
            <v>OK</v>
          </cell>
        </row>
        <row r="168">
          <cell r="B168" t="str">
            <v>Tableros eléctricos</v>
          </cell>
          <cell r="C168"/>
          <cell r="D168" t="str">
            <v>OK</v>
          </cell>
        </row>
        <row r="169">
          <cell r="B169" t="str">
            <v>Bancos de 
condensadores</v>
          </cell>
          <cell r="C169"/>
          <cell r="D169" t="str">
            <v>-</v>
          </cell>
        </row>
        <row r="170">
          <cell r="B170"/>
          <cell r="C170"/>
        </row>
        <row r="171">
          <cell r="B171" t="str">
            <v>Comentarios:</v>
          </cell>
          <cell r="C171"/>
          <cell r="D171"/>
        </row>
        <row r="172">
          <cell r="B172"/>
          <cell r="C172"/>
        </row>
        <row r="173">
          <cell r="B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row>
        <row r="189">
          <cell r="B189"/>
        </row>
        <row r="190">
          <cell r="B190"/>
        </row>
        <row r="191">
          <cell r="B191"/>
        </row>
        <row r="192">
          <cell r="B192" t="str">
            <v>UPS</v>
          </cell>
          <cell r="C192"/>
          <cell r="D192" t="str">
            <v>Estado</v>
          </cell>
        </row>
        <row r="193">
          <cell r="B193" t="str">
            <v>UPS en línea</v>
          </cell>
          <cell r="C193"/>
          <cell r="D193" t="str">
            <v>OK</v>
          </cell>
        </row>
        <row r="194">
          <cell r="B194" t="str">
            <v>Aire acondicionado dedicado</v>
          </cell>
          <cell r="C194"/>
          <cell r="D194" t="str">
            <v>OK</v>
          </cell>
        </row>
        <row r="195">
          <cell r="B195" t="str">
            <v>Estado de carga de baterías</v>
          </cell>
          <cell r="C195"/>
          <cell r="D195" t="str">
            <v>OK</v>
          </cell>
        </row>
        <row r="196">
          <cell r="C196"/>
          <cell r="D196"/>
        </row>
        <row r="197">
          <cell r="B197" t="str">
            <v>Comentarios:</v>
          </cell>
          <cell r="C197" t="str">
            <v>Rejillas frontales sucias. Limpiar</v>
          </cell>
          <cell r="D197"/>
        </row>
        <row r="198">
          <cell r="B198"/>
        </row>
        <row r="199">
          <cell r="B199"/>
          <cell r="C199"/>
          <cell r="D199"/>
        </row>
        <row r="200">
          <cell r="B200"/>
          <cell r="C200"/>
          <cell r="D200"/>
        </row>
        <row r="201">
          <cell r="B201"/>
          <cell r="C201"/>
          <cell r="D201"/>
        </row>
        <row r="202">
          <cell r="B202"/>
          <cell r="C202"/>
          <cell r="D202"/>
        </row>
        <row r="203">
          <cell r="B203"/>
          <cell r="C203"/>
          <cell r="D203"/>
        </row>
        <row r="204">
          <cell r="B204"/>
          <cell r="C204"/>
          <cell r="D204"/>
        </row>
        <row r="205">
          <cell r="B205"/>
        </row>
        <row r="206">
          <cell r="B206"/>
        </row>
        <row r="207">
          <cell r="B207"/>
        </row>
        <row r="208">
          <cell r="B208"/>
        </row>
        <row r="209">
          <cell r="B209"/>
        </row>
        <row r="210">
          <cell r="B210"/>
        </row>
        <row r="211">
          <cell r="B211"/>
        </row>
        <row r="212">
          <cell r="B212" t="str">
            <v>3   GAS</v>
          </cell>
          <cell r="C212"/>
          <cell r="D212"/>
        </row>
        <row r="214">
          <cell r="B214" t="str">
            <v>GAS</v>
          </cell>
          <cell r="C214"/>
          <cell r="D214" t="str">
            <v>Estado</v>
          </cell>
        </row>
        <row r="215">
          <cell r="B215" t="str">
            <v>Flexibles autorizados</v>
          </cell>
          <cell r="C215"/>
          <cell r="D215" t="str">
            <v>OK</v>
          </cell>
        </row>
        <row r="216">
          <cell r="B216" t="str">
            <v>Sistema de corte por pánico</v>
          </cell>
          <cell r="C216"/>
          <cell r="D216" t="str">
            <v>OK</v>
          </cell>
        </row>
        <row r="218">
          <cell r="B218" t="str">
            <v>Comentarios:</v>
          </cell>
          <cell r="C218" t="str">
            <v>Acometida principal de gas en zona de andén de carga con pintura desgastada. Pintar de amarillo.</v>
          </cell>
          <cell r="D218"/>
        </row>
        <row r="219">
          <cell r="B219"/>
          <cell r="C219" t="str">
            <v>Pintar tubería de gas en azotea.</v>
          </cell>
          <cell r="D219"/>
        </row>
        <row r="270">
          <cell r="B270"/>
          <cell r="D270"/>
        </row>
        <row r="272">
          <cell r="B272" t="str">
            <v>4   OBSERVACIONES GENERALES</v>
          </cell>
          <cell r="C272"/>
          <cell r="D272"/>
        </row>
        <row r="274">
          <cell r="B274" t="str">
            <v>Comentarios:</v>
          </cell>
          <cell r="C274" t="str">
            <v>Realizar puente de pasaje por sobre ducto en desembarque de escalera a plataforma de R_02 y R_03.</v>
          </cell>
          <cell r="D274"/>
        </row>
      </sheetData>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5XB46IGQ5EVFYIEYNIVEFMMSS">
      <xxl21:absoluteUrl r:id="rId2"/>
    </xxl21:alternateUrls>
    <sheetNames>
      <sheetName val="Informe"/>
      <sheetName val="ROOFTOP"/>
      <sheetName val="SPLITS"/>
      <sheetName val="MINISPLITS"/>
    </sheetNames>
    <sheetDataSet>
      <sheetData sheetId="0">
        <row r="5">
          <cell r="B5" t="str">
            <v>SUCURSAL:</v>
          </cell>
          <cell r="C5" t="str">
            <v>DISCO 05</v>
          </cell>
        </row>
        <row r="7">
          <cell r="B7" t="str">
            <v>1   AIRE ACONDICIONADO</v>
          </cell>
          <cell r="C7"/>
          <cell r="D7"/>
        </row>
        <row r="9">
          <cell r="B9" t="str">
            <v>CD/CI
Sucursal</v>
          </cell>
          <cell r="C9">
            <v>0.96626984126984128</v>
          </cell>
        </row>
        <row r="11">
          <cell r="B11" t="str">
            <v>Código</v>
          </cell>
          <cell r="C11"/>
          <cell r="D11" t="str">
            <v>Estado del equipo</v>
          </cell>
        </row>
        <row r="12">
          <cell r="B12" t="str">
            <v>Equipo</v>
          </cell>
          <cell r="C12" t="str">
            <v>Intercambiadores</v>
          </cell>
          <cell r="D12" t="str">
            <v>Gabinete</v>
          </cell>
        </row>
        <row r="13">
          <cell r="B13" t="str">
            <v>D05_S_06</v>
          </cell>
          <cell r="C13">
            <v>2</v>
          </cell>
          <cell r="D13">
            <v>3</v>
          </cell>
        </row>
        <row r="14">
          <cell r="B14" t="str">
            <v>D05_S_07</v>
          </cell>
          <cell r="C14">
            <v>2</v>
          </cell>
          <cell r="D14">
            <v>3</v>
          </cell>
        </row>
        <row r="15">
          <cell r="B15" t="str">
            <v>D05_S_08</v>
          </cell>
          <cell r="C15">
            <v>2</v>
          </cell>
          <cell r="D15">
            <v>3</v>
          </cell>
        </row>
        <row r="16">
          <cell r="B16" t="str">
            <v>D05_R_01</v>
          </cell>
          <cell r="C16">
            <v>1</v>
          </cell>
          <cell r="D16">
            <v>3</v>
          </cell>
        </row>
        <row r="17">
          <cell r="B17" t="str">
            <v>D05_R_02</v>
          </cell>
          <cell r="C17">
            <v>1</v>
          </cell>
          <cell r="D17">
            <v>3</v>
          </cell>
        </row>
        <row r="18">
          <cell r="B18" t="str">
            <v>D05_R_03</v>
          </cell>
          <cell r="C18">
            <v>1</v>
          </cell>
          <cell r="D18">
            <v>3</v>
          </cell>
        </row>
        <row r="19">
          <cell r="B19" t="str">
            <v>D05_R_04</v>
          </cell>
          <cell r="C19">
            <v>1</v>
          </cell>
          <cell r="D19">
            <v>2</v>
          </cell>
        </row>
        <row r="20">
          <cell r="B20" t="str">
            <v>D05_R_05</v>
          </cell>
          <cell r="C20">
            <v>1</v>
          </cell>
          <cell r="D20">
            <v>3</v>
          </cell>
        </row>
        <row r="21">
          <cell r="B21" t="str">
            <v>D05_R_06</v>
          </cell>
          <cell r="C21">
            <v>1</v>
          </cell>
          <cell r="D21">
            <v>3</v>
          </cell>
        </row>
        <row r="22">
          <cell r="B22" t="str">
            <v>D05_R_07</v>
          </cell>
          <cell r="C22">
            <v>3</v>
          </cell>
          <cell r="D22">
            <v>3</v>
          </cell>
        </row>
        <row r="23">
          <cell r="B23" t="str">
            <v>D05_R_08</v>
          </cell>
          <cell r="C23">
            <v>3</v>
          </cell>
          <cell r="D23">
            <v>3</v>
          </cell>
        </row>
        <row r="24">
          <cell r="D24"/>
        </row>
        <row r="25">
          <cell r="B25" t="str">
            <v>Comentarios:</v>
          </cell>
          <cell r="C25" t="str">
            <v>Continuar bandeja de acometida eléctrica a equipos en techo.</v>
          </cell>
          <cell r="D25"/>
        </row>
        <row r="26">
          <cell r="B26" t="str">
            <v>R_08</v>
          </cell>
          <cell r="C26" t="str">
            <v>Canalizar desagüe.</v>
          </cell>
          <cell r="D26"/>
        </row>
        <row r="27">
          <cell r="B27" t="str">
            <v>R_04</v>
          </cell>
          <cell r="C27" t="str">
            <v>Parte inferior de gabinete muy oxidada. Controlar.</v>
          </cell>
          <cell r="D27"/>
        </row>
        <row r="28">
          <cell r="B28" t="str">
            <v>R_01/02/03/04/05/06</v>
          </cell>
          <cell r="C28" t="str">
            <v>Intercambiadores exteriores muy deteriorados. Ductos a la vista.</v>
          </cell>
          <cell r="D28"/>
        </row>
        <row r="29">
          <cell r="B29" t="str">
            <v>R_03</v>
          </cell>
          <cell r="C29" t="str">
            <v>Falta un forzador de aire.</v>
          </cell>
          <cell r="D29"/>
        </row>
        <row r="30">
          <cell r="B30" t="str">
            <v>R_01/02/03</v>
          </cell>
          <cell r="C30" t="str">
            <v>Canalizar desagües. Puede caer agua sobre acometida eléctrica a equipos Split.</v>
          </cell>
          <cell r="D30"/>
        </row>
        <row r="31">
          <cell r="B31" t="str">
            <v>S_07</v>
          </cell>
          <cell r="C31" t="str">
            <v>Tapa de protección de acometida eléctrica caída. Recolocar.</v>
          </cell>
          <cell r="D31"/>
        </row>
        <row r="32">
          <cell r="B32" t="str">
            <v>S_07</v>
          </cell>
          <cell r="C32" t="str">
            <v>Rejillas interiores sucias. Limpiar.</v>
          </cell>
          <cell r="D3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B194" t="str">
            <v>2   ELÉCTRICA</v>
          </cell>
          <cell r="C194"/>
          <cell r="D194"/>
        </row>
        <row r="196">
          <cell r="B196" t="str">
            <v>Código</v>
          </cell>
          <cell r="C196" t="str">
            <v>Estado</v>
          </cell>
          <cell r="D196" t="str">
            <v>Mantenimiento</v>
          </cell>
        </row>
        <row r="197">
          <cell r="B197" t="str">
            <v>Generador</v>
          </cell>
          <cell r="C197" t="str">
            <v>Generador</v>
          </cell>
          <cell r="D197" t="str">
            <v>Proveedor</v>
          </cell>
        </row>
        <row r="198">
          <cell r="B198" t="str">
            <v>D05_G_01</v>
          </cell>
          <cell r="C198">
            <v>3</v>
          </cell>
          <cell r="D198">
            <v>3</v>
          </cell>
        </row>
        <row r="199">
          <cell r="B199"/>
          <cell r="C199"/>
        </row>
        <row r="200">
          <cell r="B200" t="str">
            <v>GENERADOR</v>
          </cell>
          <cell r="C200"/>
          <cell r="D200" t="str">
            <v>Estado</v>
          </cell>
        </row>
        <row r="201">
          <cell r="B201" t="str">
            <v>Tanque de Combustible</v>
          </cell>
          <cell r="C201"/>
          <cell r="D201">
            <v>0.76</v>
          </cell>
        </row>
        <row r="202">
          <cell r="B202" t="str">
            <v>Batería</v>
          </cell>
          <cell r="C202"/>
          <cell r="D202" t="str">
            <v>OK</v>
          </cell>
        </row>
        <row r="203">
          <cell r="B203" t="str">
            <v xml:space="preserve">Liquido refrigerante </v>
          </cell>
          <cell r="C203"/>
          <cell r="D203" t="str">
            <v>OK</v>
          </cell>
        </row>
        <row r="204">
          <cell r="B204" t="str">
            <v>Lubricante</v>
          </cell>
          <cell r="C204"/>
          <cell r="D204" t="str">
            <v>OK</v>
          </cell>
        </row>
        <row r="205">
          <cell r="D205"/>
        </row>
        <row r="206">
          <cell r="B206" t="str">
            <v>Comentarios:</v>
          </cell>
          <cell r="C206" t="str">
            <v>Regularizar la puesta a tierra del equipo. Jabalina continúa a la vista.</v>
          </cell>
          <cell r="D206"/>
        </row>
        <row r="207">
          <cell r="B207"/>
          <cell r="C207" t="str">
            <v>Controlar lubricante. Color oscuro y viscosidad reducida.</v>
          </cell>
          <cell r="D207"/>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B245" t="str">
            <v>SUBESTACIÓN</v>
          </cell>
          <cell r="C245"/>
          <cell r="D245" t="str">
            <v>Estado</v>
          </cell>
        </row>
        <row r="246">
          <cell r="B246" t="str">
            <v>Objetos extraños</v>
          </cell>
          <cell r="C246"/>
          <cell r="D246" t="str">
            <v>OK</v>
          </cell>
        </row>
        <row r="247">
          <cell r="B247" t="str">
            <v>Filtraciones de agua</v>
          </cell>
          <cell r="C247"/>
          <cell r="D247" t="str">
            <v>OK</v>
          </cell>
        </row>
        <row r="248">
          <cell r="B248" t="str">
            <v>Tableros eléctricos</v>
          </cell>
          <cell r="C248"/>
          <cell r="D248" t="str">
            <v>OK</v>
          </cell>
        </row>
        <row r="249">
          <cell r="B249" t="str">
            <v>Bancos de 
condensadores</v>
          </cell>
          <cell r="C249"/>
          <cell r="D249" t="str">
            <v>OK</v>
          </cell>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D263"/>
        </row>
        <row r="264">
          <cell r="D264"/>
        </row>
        <row r="265">
          <cell r="D265"/>
        </row>
        <row r="266">
          <cell r="D266"/>
        </row>
        <row r="267">
          <cell r="D267"/>
        </row>
        <row r="268">
          <cell r="D268"/>
        </row>
        <row r="269">
          <cell r="D269"/>
        </row>
        <row r="270">
          <cell r="D270"/>
        </row>
        <row r="271">
          <cell r="D271"/>
        </row>
        <row r="272">
          <cell r="D272"/>
        </row>
        <row r="273">
          <cell r="D273"/>
        </row>
        <row r="274">
          <cell r="D274"/>
        </row>
        <row r="275">
          <cell r="D275"/>
        </row>
        <row r="276">
          <cell r="D276"/>
        </row>
        <row r="277">
          <cell r="D277"/>
        </row>
        <row r="278">
          <cell r="D278"/>
        </row>
        <row r="279">
          <cell r="D279"/>
        </row>
        <row r="280">
          <cell r="D280"/>
        </row>
        <row r="281">
          <cell r="D281"/>
        </row>
        <row r="282">
          <cell r="D282"/>
        </row>
        <row r="283">
          <cell r="D283"/>
        </row>
        <row r="284">
          <cell r="D284"/>
        </row>
        <row r="285">
          <cell r="D285"/>
        </row>
        <row r="286">
          <cell r="D286"/>
        </row>
        <row r="287">
          <cell r="D287"/>
        </row>
        <row r="288">
          <cell r="D288"/>
        </row>
        <row r="289">
          <cell r="D289"/>
        </row>
        <row r="290">
          <cell r="D290"/>
        </row>
        <row r="291">
          <cell r="D291"/>
        </row>
        <row r="292">
          <cell r="D292"/>
        </row>
        <row r="293">
          <cell r="D293"/>
        </row>
        <row r="294">
          <cell r="D294"/>
        </row>
        <row r="295">
          <cell r="D295"/>
        </row>
        <row r="296">
          <cell r="D296"/>
        </row>
        <row r="297">
          <cell r="D297"/>
        </row>
        <row r="298">
          <cell r="D298"/>
        </row>
        <row r="299">
          <cell r="B299" t="str">
            <v>UPS</v>
          </cell>
          <cell r="C299"/>
          <cell r="D299" t="str">
            <v>Estado</v>
          </cell>
        </row>
        <row r="300">
          <cell r="B300" t="str">
            <v>UPS en línea</v>
          </cell>
          <cell r="C300"/>
          <cell r="D300" t="str">
            <v>OK</v>
          </cell>
        </row>
        <row r="301">
          <cell r="B301" t="str">
            <v>Aire acondicionado dedicado</v>
          </cell>
          <cell r="C301"/>
          <cell r="D301" t="str">
            <v>OK</v>
          </cell>
        </row>
      </sheetData>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HCSPYJP6DWRH2TC3VOETXUHBB">
      <xxl21:absoluteUrl r:id="rId2"/>
    </xxl21:alternateUrls>
    <sheetNames>
      <sheetName val="Informe"/>
      <sheetName val="ROOF TOP"/>
    </sheetNames>
    <sheetDataSet>
      <sheetData sheetId="0">
        <row r="5">
          <cell r="B5" t="str">
            <v>SUCURSAL:</v>
          </cell>
          <cell r="C5" t="str">
            <v>DISCO 06</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D06_R_01</v>
          </cell>
          <cell r="C13">
            <v>2</v>
          </cell>
          <cell r="D13">
            <v>2</v>
          </cell>
        </row>
        <row r="14">
          <cell r="B14" t="str">
            <v>D06_R_02</v>
          </cell>
          <cell r="C14">
            <v>2</v>
          </cell>
          <cell r="D14">
            <v>2</v>
          </cell>
        </row>
        <row r="15">
          <cell r="D15"/>
        </row>
        <row r="16">
          <cell r="B16" t="str">
            <v>Comentarios:</v>
          </cell>
          <cell r="C16" t="str">
            <v xml:space="preserve">Rejillas de extracción de aire en salón sucias. </v>
          </cell>
          <cell r="D16"/>
        </row>
        <row r="17">
          <cell r="B17" t="str">
            <v>R_01</v>
          </cell>
          <cell r="C17" t="str">
            <v>Continúa animal muerto sobre ductos de aire.</v>
          </cell>
          <cell r="D17"/>
        </row>
        <row r="18">
          <cell r="B18" t="str">
            <v>R_01</v>
          </cell>
          <cell r="C18" t="str">
            <v>Interambiador interior sucio.</v>
          </cell>
          <cell r="D18"/>
        </row>
        <row r="19">
          <cell r="B19" t="str">
            <v>R_02</v>
          </cell>
          <cell r="C19" t="str">
            <v>Realizar plataforma para mantenimiento en lado acceso a filtros y rotores.</v>
          </cell>
          <cell r="D19"/>
        </row>
        <row r="20">
          <cell r="B20"/>
        </row>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t="str">
            <v>2   ELÉCTRICA</v>
          </cell>
          <cell r="C55"/>
          <cell r="D55"/>
        </row>
        <row r="57">
          <cell r="B57" t="str">
            <v>Código</v>
          </cell>
          <cell r="C57" t="str">
            <v>Estado</v>
          </cell>
          <cell r="D57" t="str">
            <v>Mantenimiento</v>
          </cell>
        </row>
        <row r="58">
          <cell r="B58" t="str">
            <v>Generador</v>
          </cell>
          <cell r="C58" t="str">
            <v>Generador</v>
          </cell>
          <cell r="D58" t="str">
            <v>Proveedor</v>
          </cell>
        </row>
        <row r="59">
          <cell r="B59" t="str">
            <v>D06_G_01</v>
          </cell>
          <cell r="C59">
            <v>2</v>
          </cell>
          <cell r="D59">
            <v>2</v>
          </cell>
        </row>
        <row r="60">
          <cell r="B60"/>
          <cell r="C60"/>
        </row>
        <row r="61">
          <cell r="B61" t="str">
            <v>GENERADOR</v>
          </cell>
          <cell r="C61"/>
          <cell r="D61" t="str">
            <v>Estado</v>
          </cell>
        </row>
        <row r="62">
          <cell r="B62" t="str">
            <v>Tanque de Combustible</v>
          </cell>
          <cell r="C62"/>
          <cell r="D62">
            <v>0.55000000000000004</v>
          </cell>
        </row>
        <row r="63">
          <cell r="B63" t="str">
            <v>Batería</v>
          </cell>
          <cell r="C63"/>
          <cell r="D63" t="str">
            <v>OK</v>
          </cell>
        </row>
        <row r="64">
          <cell r="B64" t="str">
            <v xml:space="preserve">Liquido refrigerante </v>
          </cell>
          <cell r="C64"/>
          <cell r="D64" t="str">
            <v>OK</v>
          </cell>
        </row>
        <row r="65">
          <cell r="B65" t="str">
            <v>Aceite</v>
          </cell>
          <cell r="C65"/>
          <cell r="D65" t="str">
            <v>OK</v>
          </cell>
        </row>
        <row r="67">
          <cell r="B67" t="str">
            <v>Comentarios:</v>
          </cell>
          <cell r="C67" t="str">
            <v>Manguera de filtro de combustible cuarteada. Controlar.</v>
          </cell>
          <cell r="D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row>
        <row r="114">
          <cell r="B114" t="str">
            <v>SUBESTACIÓN</v>
          </cell>
          <cell r="C114"/>
          <cell r="D114" t="str">
            <v>Estado</v>
          </cell>
        </row>
        <row r="115">
          <cell r="B115" t="str">
            <v>Objetos extraños</v>
          </cell>
          <cell r="C115"/>
          <cell r="D115" t="str">
            <v>OK</v>
          </cell>
        </row>
        <row r="116">
          <cell r="B116" t="str">
            <v>Filtraciones de agua</v>
          </cell>
          <cell r="C116"/>
          <cell r="D116" t="str">
            <v>OK</v>
          </cell>
        </row>
        <row r="117">
          <cell r="B117" t="str">
            <v>Tableros eléctricos</v>
          </cell>
          <cell r="C117"/>
          <cell r="D117" t="str">
            <v>OK</v>
          </cell>
        </row>
        <row r="118">
          <cell r="B118" t="str">
            <v>Bancos de _x000D_condensadores</v>
          </cell>
          <cell r="C118"/>
          <cell r="D118" t="str">
            <v>OK</v>
          </cell>
        </row>
        <row r="119">
          <cell r="D119"/>
        </row>
        <row r="120">
          <cell r="B120" t="str">
            <v>Comentarios:</v>
          </cell>
          <cell r="C120" t="str">
            <v>Redireccionar conductores eléctricos caídos frente a tablero que impiden su correcta apertura.</v>
          </cell>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B150" t="str">
            <v>UPS</v>
          </cell>
          <cell r="C150"/>
          <cell r="D150" t="str">
            <v>Estado</v>
          </cell>
        </row>
        <row r="151">
          <cell r="B151" t="str">
            <v>UPS en línea</v>
          </cell>
          <cell r="C151"/>
          <cell r="D151" t="str">
            <v>OK</v>
          </cell>
        </row>
        <row r="152">
          <cell r="B152" t="str">
            <v>Estado de carga de baterías</v>
          </cell>
          <cell r="C152"/>
          <cell r="D152" t="str">
            <v>OK</v>
          </cell>
        </row>
        <row r="153">
          <cell r="C153"/>
          <cell r="D153"/>
        </row>
        <row r="154">
          <cell r="B154" t="str">
            <v>Comentarios:</v>
          </cell>
          <cell r="C154" t="str">
            <v>Ingresa polvillo sobre las UPS desde el cielorraso. Aislar correctamente.</v>
          </cell>
          <cell r="D154"/>
        </row>
        <row r="155">
          <cell r="C155"/>
          <cell r="D155"/>
        </row>
        <row r="156">
          <cell r="C156"/>
          <cell r="D156"/>
        </row>
        <row r="157">
          <cell r="C157"/>
          <cell r="D157"/>
        </row>
        <row r="158">
          <cell r="C158"/>
          <cell r="D158"/>
        </row>
        <row r="159">
          <cell r="C159"/>
          <cell r="D159"/>
        </row>
        <row r="160">
          <cell r="C160"/>
          <cell r="D160"/>
        </row>
        <row r="161">
          <cell r="C161"/>
          <cell r="D161"/>
        </row>
        <row r="162">
          <cell r="C162"/>
          <cell r="D162"/>
        </row>
        <row r="163">
          <cell r="C163"/>
          <cell r="D163"/>
        </row>
        <row r="164">
          <cell r="B164" t="str">
            <v>3   GAS</v>
          </cell>
          <cell r="C164"/>
          <cell r="D164"/>
        </row>
        <row r="166">
          <cell r="B166" t="str">
            <v>GAS</v>
          </cell>
          <cell r="C166"/>
          <cell r="D166" t="str">
            <v>Estado</v>
          </cell>
        </row>
        <row r="167">
          <cell r="B167" t="str">
            <v>Flexibles autorizados</v>
          </cell>
          <cell r="C167"/>
          <cell r="D167" t="str">
            <v>OK</v>
          </cell>
        </row>
        <row r="168">
          <cell r="B168" t="str">
            <v>Sistema de corte por pánico</v>
          </cell>
          <cell r="C168"/>
          <cell r="D168" t="str">
            <v>NO OK</v>
          </cell>
        </row>
        <row r="170">
          <cell r="B170" t="str">
            <v>Comentarios:</v>
          </cell>
          <cell r="C170" t="str">
            <v>No existe botón de corte por pánico de gas en rotisería.</v>
          </cell>
          <cell r="D170"/>
        </row>
        <row r="171">
          <cell r="B171"/>
          <cell r="C171" t="str">
            <v>Tramo de tubería sin pintar en rotisería.</v>
          </cell>
          <cell r="D171"/>
        </row>
        <row r="172">
          <cell r="B172"/>
        </row>
        <row r="173">
          <cell r="B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row>
        <row r="189">
          <cell r="B189"/>
        </row>
        <row r="190">
          <cell r="B190"/>
        </row>
        <row r="191">
          <cell r="B191"/>
        </row>
        <row r="192">
          <cell r="B192"/>
        </row>
        <row r="193">
          <cell r="B193"/>
        </row>
        <row r="194">
          <cell r="B194"/>
        </row>
        <row r="195">
          <cell r="B195"/>
        </row>
      </sheetData>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ZUVL4VFDM6IVD3GTALHDXZ7ODA">
      <xxl21:absoluteUrl r:id="rId2"/>
    </xxl21:alternateUrls>
    <sheetNames>
      <sheetName val="Informe"/>
    </sheetNames>
    <sheetDataSet>
      <sheetData sheetId="0">
        <row r="5">
          <cell r="B5" t="str">
            <v>SUCURSAL:</v>
          </cell>
          <cell r="C5" t="str">
            <v>DISCO 07</v>
          </cell>
        </row>
        <row r="7">
          <cell r="B7" t="str">
            <v>1   AIRE ACONDICIONADO</v>
          </cell>
          <cell r="C7"/>
          <cell r="D7"/>
        </row>
        <row r="9">
          <cell r="B9" t="str">
            <v>CD/CI_x000D__x000D_
Sucursal</v>
          </cell>
          <cell r="C9">
            <v>1</v>
          </cell>
        </row>
        <row r="11">
          <cell r="B11" t="str">
            <v>Código</v>
          </cell>
          <cell r="C11"/>
          <cell r="D11" t="str">
            <v>Estado del equipo</v>
          </cell>
        </row>
        <row r="12">
          <cell r="B12" t="str">
            <v>Equipo</v>
          </cell>
          <cell r="C12" t="str">
            <v>Intercambiadores</v>
          </cell>
          <cell r="D12" t="str">
            <v>Gabinete</v>
          </cell>
        </row>
        <row r="13">
          <cell r="B13" t="str">
            <v>D07_R_01</v>
          </cell>
          <cell r="C13">
            <v>2</v>
          </cell>
          <cell r="D13">
            <v>2</v>
          </cell>
        </row>
        <row r="14">
          <cell r="B14" t="str">
            <v>D07_R_02</v>
          </cell>
          <cell r="C14">
            <v>2</v>
          </cell>
          <cell r="D14">
            <v>2</v>
          </cell>
        </row>
        <row r="15">
          <cell r="B15" t="str">
            <v>D07_R_03</v>
          </cell>
          <cell r="C15">
            <v>3</v>
          </cell>
          <cell r="D15">
            <v>3</v>
          </cell>
        </row>
        <row r="16">
          <cell r="B16"/>
          <cell r="D16"/>
        </row>
        <row r="17">
          <cell r="B17" t="str">
            <v>Comentarios:</v>
          </cell>
          <cell r="C17" t="str">
            <v>Rejillas de extracción y difusión de aire en salón muy sucias. Limpiar.</v>
          </cell>
          <cell r="D17"/>
        </row>
        <row r="18">
          <cell r="B18" t="str">
            <v>R_01</v>
          </cell>
          <cell r="C18" t="str">
            <v>Desagüe no presenta sifón y desagota en parking de vehículos.</v>
          </cell>
          <cell r="D18"/>
        </row>
        <row r="19">
          <cell r="B19" t="str">
            <v>R_01</v>
          </cell>
          <cell r="C19" t="str">
            <v>Equipo presenta una puerta muy abollada. Controlar.</v>
          </cell>
          <cell r="D19"/>
        </row>
        <row r="20">
          <cell r="B20" t="str">
            <v>R_02</v>
          </cell>
          <cell r="C20" t="str">
            <v>Desagüe con contrapendiente. Colocar soporte.</v>
          </cell>
          <cell r="D20"/>
        </row>
        <row r="21">
          <cell r="B21" t="str">
            <v>R_03</v>
          </cell>
          <cell r="C21" t="str">
            <v>Se sustituyó por un nuevo equipo Airway de 20TR</v>
          </cell>
          <cell r="D21"/>
        </row>
        <row r="22">
          <cell r="B22" t="str">
            <v>R_03</v>
          </cell>
          <cell r="C22" t="str">
            <v>Retirar materiales sobrantes de la instalación del nuevo equipo.</v>
          </cell>
          <cell r="D22"/>
        </row>
        <row r="23">
          <cell r="B23" t="str">
            <v>  </v>
          </cell>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t="str">
            <v>   </v>
          </cell>
        </row>
        <row r="55">
          <cell r="B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B77" t="str">
            <v>2   ELÉCTRICA</v>
          </cell>
          <cell r="C77"/>
          <cell r="D77"/>
        </row>
        <row r="79">
          <cell r="B79" t="str">
            <v>Código</v>
          </cell>
          <cell r="C79" t="str">
            <v>Estado</v>
          </cell>
          <cell r="D79" t="str">
            <v>Mantenimiento</v>
          </cell>
        </row>
        <row r="80">
          <cell r="B80" t="str">
            <v>Generador</v>
          </cell>
          <cell r="C80" t="str">
            <v>Generador</v>
          </cell>
          <cell r="D80" t="str">
            <v>Proveedor</v>
          </cell>
        </row>
        <row r="81">
          <cell r="B81" t="str">
            <v>D07_G_01</v>
          </cell>
          <cell r="C81">
            <v>2</v>
          </cell>
          <cell r="D81">
            <v>3</v>
          </cell>
        </row>
        <row r="82">
          <cell r="B82"/>
          <cell r="C82"/>
        </row>
        <row r="83">
          <cell r="B83" t="str">
            <v>GENERADOR</v>
          </cell>
          <cell r="C83"/>
          <cell r="D83" t="str">
            <v>Estado</v>
          </cell>
        </row>
        <row r="84">
          <cell r="B84" t="str">
            <v xml:space="preserve">Tanque de Combustible </v>
          </cell>
          <cell r="C84"/>
          <cell r="D84">
            <v>0.75</v>
          </cell>
        </row>
        <row r="85">
          <cell r="B85" t="str">
            <v>Batería</v>
          </cell>
          <cell r="C85"/>
          <cell r="D85" t="str">
            <v>OK</v>
          </cell>
        </row>
        <row r="86">
          <cell r="B86" t="str">
            <v>Liquido Refrigerante</v>
          </cell>
          <cell r="C86"/>
          <cell r="D86" t="str">
            <v>OK</v>
          </cell>
        </row>
        <row r="87">
          <cell r="B87" t="str">
            <v>Aceite</v>
          </cell>
          <cell r="C87"/>
          <cell r="D87" t="str">
            <v>OK</v>
          </cell>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B119" t="str">
            <v>SUBESTACIÓN</v>
          </cell>
          <cell r="C119"/>
          <cell r="D119" t="str">
            <v>Estado</v>
          </cell>
        </row>
        <row r="120">
          <cell r="B120" t="str">
            <v>Objetos extraños</v>
          </cell>
          <cell r="C120"/>
          <cell r="D120" t="str">
            <v>OK</v>
          </cell>
        </row>
        <row r="121">
          <cell r="B121" t="str">
            <v>Filtraciones de agua</v>
          </cell>
          <cell r="C121"/>
          <cell r="D121" t="str">
            <v>OK</v>
          </cell>
        </row>
        <row r="122">
          <cell r="B122" t="str">
            <v>Tableros eléctricos</v>
          </cell>
          <cell r="C122"/>
          <cell r="D122" t="str">
            <v>OK</v>
          </cell>
        </row>
        <row r="123">
          <cell r="B123" t="str">
            <v>Bancos de _x000D_condensadores</v>
          </cell>
          <cell r="C123"/>
          <cell r="D123" t="str">
            <v>OK</v>
          </cell>
        </row>
        <row r="124">
          <cell r="B124"/>
          <cell r="C124"/>
          <cell r="D124"/>
        </row>
        <row r="125">
          <cell r="B125" t="str">
            <v>Comentarios:</v>
          </cell>
          <cell r="C125" t="str">
            <v>Llave general acometida inferior a 47°C. Verificar.</v>
          </cell>
          <cell r="D125"/>
        </row>
        <row r="126">
          <cell r="B126"/>
          <cell r="C126"/>
          <cell r="D126"/>
        </row>
        <row r="127">
          <cell r="B127"/>
          <cell r="C127"/>
          <cell r="D127"/>
        </row>
        <row r="128">
          <cell r="B128"/>
          <cell r="C128"/>
          <cell r="D128"/>
        </row>
        <row r="129">
          <cell r="B129"/>
          <cell r="C129"/>
          <cell r="D129"/>
        </row>
        <row r="130">
          <cell r="B130"/>
          <cell r="C130"/>
          <cell r="D130"/>
        </row>
        <row r="131">
          <cell r="B131"/>
          <cell r="C131"/>
          <cell r="D131"/>
        </row>
        <row r="132">
          <cell r="B132"/>
          <cell r="C132"/>
          <cell r="D132"/>
        </row>
        <row r="133">
          <cell r="B133"/>
          <cell r="C133"/>
          <cell r="D133"/>
        </row>
        <row r="134">
          <cell r="B134"/>
          <cell r="C134"/>
          <cell r="D134"/>
        </row>
        <row r="135">
          <cell r="B135"/>
          <cell r="C135"/>
          <cell r="D135"/>
        </row>
        <row r="136">
          <cell r="B136"/>
          <cell r="C136"/>
          <cell r="D136"/>
        </row>
        <row r="137">
          <cell r="B137"/>
          <cell r="C137"/>
          <cell r="D137"/>
        </row>
        <row r="138">
          <cell r="B138"/>
          <cell r="C138"/>
          <cell r="D138"/>
        </row>
        <row r="139">
          <cell r="B139"/>
          <cell r="C139"/>
          <cell r="D139"/>
        </row>
        <row r="140">
          <cell r="B140"/>
          <cell r="C140"/>
          <cell r="D140"/>
        </row>
        <row r="141">
          <cell r="B141"/>
          <cell r="C141"/>
          <cell r="D141"/>
        </row>
        <row r="142">
          <cell r="B142"/>
          <cell r="C142"/>
          <cell r="D142"/>
        </row>
        <row r="143">
          <cell r="B143"/>
          <cell r="C143"/>
          <cell r="D143"/>
        </row>
        <row r="144">
          <cell r="B144"/>
          <cell r="D144"/>
        </row>
        <row r="146">
          <cell r="B146"/>
          <cell r="C146"/>
          <cell r="D146"/>
        </row>
        <row r="147">
          <cell r="B147"/>
          <cell r="C147"/>
          <cell r="D147"/>
        </row>
        <row r="148">
          <cell r="B148"/>
          <cell r="C148"/>
          <cell r="D148"/>
        </row>
        <row r="149">
          <cell r="B149"/>
          <cell r="C149"/>
          <cell r="D149"/>
        </row>
        <row r="150">
          <cell r="B150"/>
          <cell r="C150"/>
          <cell r="D150"/>
        </row>
        <row r="151">
          <cell r="B151"/>
          <cell r="C151"/>
          <cell r="D151"/>
        </row>
        <row r="152">
          <cell r="B152"/>
          <cell r="C152"/>
          <cell r="D152"/>
        </row>
        <row r="153">
          <cell r="B153"/>
          <cell r="C153"/>
          <cell r="D153"/>
        </row>
        <row r="154">
          <cell r="B154"/>
          <cell r="C154"/>
          <cell r="D154"/>
        </row>
        <row r="155">
          <cell r="B155"/>
          <cell r="C155"/>
          <cell r="D155"/>
        </row>
        <row r="156">
          <cell r="B156"/>
          <cell r="C156"/>
          <cell r="D156"/>
        </row>
        <row r="157">
          <cell r="B157"/>
          <cell r="C157"/>
          <cell r="D157"/>
        </row>
        <row r="158">
          <cell r="B158"/>
          <cell r="C158"/>
          <cell r="D158"/>
        </row>
        <row r="159">
          <cell r="B159"/>
          <cell r="C159"/>
          <cell r="D159"/>
        </row>
        <row r="160">
          <cell r="B160"/>
          <cell r="C160"/>
          <cell r="D160"/>
        </row>
        <row r="161">
          <cell r="B161"/>
          <cell r="C161"/>
          <cell r="D161"/>
        </row>
        <row r="162">
          <cell r="B162"/>
          <cell r="C162"/>
          <cell r="D162"/>
        </row>
        <row r="163">
          <cell r="B163"/>
          <cell r="C163"/>
          <cell r="D163"/>
        </row>
        <row r="164">
          <cell r="B164"/>
          <cell r="C164"/>
          <cell r="D164"/>
        </row>
        <row r="165">
          <cell r="B165"/>
          <cell r="C165"/>
          <cell r="D165"/>
        </row>
        <row r="166">
          <cell r="B166"/>
          <cell r="C166"/>
          <cell r="D166"/>
        </row>
        <row r="167">
          <cell r="B167"/>
          <cell r="C167"/>
          <cell r="D167"/>
        </row>
        <row r="168">
          <cell r="B168" t="str">
            <v>UPS</v>
          </cell>
          <cell r="C168"/>
          <cell r="D168" t="str">
            <v>Estado</v>
          </cell>
        </row>
        <row r="169">
          <cell r="B169" t="str">
            <v>UPS en línea</v>
          </cell>
          <cell r="C169"/>
          <cell r="D169" t="str">
            <v>OK</v>
          </cell>
        </row>
        <row r="170">
          <cell r="B170" t="str">
            <v>Aire acondicionado dedicado</v>
          </cell>
          <cell r="C170"/>
          <cell r="D170" t="str">
            <v>OK</v>
          </cell>
        </row>
        <row r="171">
          <cell r="B171" t="str">
            <v>Estado de carga de baterías</v>
          </cell>
          <cell r="C171"/>
          <cell r="D171" t="str">
            <v>OK</v>
          </cell>
        </row>
        <row r="172">
          <cell r="B172"/>
          <cell r="C172"/>
          <cell r="D172"/>
        </row>
        <row r="173">
          <cell r="B173" t="str">
            <v>Comentarios:</v>
          </cell>
          <cell r="C173" t="str">
            <v>Limpiar rejillas.</v>
          </cell>
          <cell r="D173"/>
        </row>
        <row r="174">
          <cell r="B174"/>
          <cell r="C174"/>
          <cell r="D174"/>
        </row>
        <row r="175">
          <cell r="B175"/>
          <cell r="C175"/>
          <cell r="D175"/>
        </row>
        <row r="176">
          <cell r="B176"/>
          <cell r="C176"/>
          <cell r="D176"/>
        </row>
        <row r="177">
          <cell r="B177"/>
          <cell r="C177"/>
          <cell r="D177"/>
        </row>
        <row r="178">
          <cell r="B178"/>
          <cell r="C178"/>
          <cell r="D178"/>
        </row>
        <row r="179">
          <cell r="B179"/>
          <cell r="C179"/>
          <cell r="D179"/>
        </row>
        <row r="180">
          <cell r="B180"/>
          <cell r="C180"/>
          <cell r="D180"/>
        </row>
        <row r="181">
          <cell r="B181"/>
          <cell r="C181"/>
          <cell r="D181"/>
        </row>
        <row r="182">
          <cell r="B182"/>
          <cell r="C182"/>
          <cell r="D182"/>
        </row>
        <row r="183">
          <cell r="B183"/>
          <cell r="C183"/>
          <cell r="D183"/>
        </row>
        <row r="184">
          <cell r="B184"/>
          <cell r="C184"/>
          <cell r="D184"/>
        </row>
        <row r="185">
          <cell r="B185"/>
          <cell r="C185"/>
          <cell r="D185"/>
        </row>
        <row r="186">
          <cell r="B186"/>
          <cell r="C186"/>
          <cell r="D186"/>
        </row>
        <row r="187">
          <cell r="B187"/>
          <cell r="C187"/>
          <cell r="D187"/>
        </row>
        <row r="188">
          <cell r="B188"/>
          <cell r="C188"/>
          <cell r="D188"/>
        </row>
        <row r="189">
          <cell r="B189"/>
          <cell r="C189"/>
          <cell r="D189"/>
        </row>
        <row r="190">
          <cell r="B190"/>
          <cell r="C190"/>
          <cell r="D190"/>
        </row>
        <row r="191">
          <cell r="B191"/>
          <cell r="C191"/>
          <cell r="D191"/>
        </row>
        <row r="192">
          <cell r="B192"/>
          <cell r="C192"/>
          <cell r="D192"/>
        </row>
        <row r="193">
          <cell r="B193"/>
          <cell r="C193"/>
          <cell r="D193"/>
        </row>
        <row r="194">
          <cell r="B194"/>
          <cell r="C194"/>
          <cell r="D194"/>
        </row>
        <row r="195">
          <cell r="B195"/>
          <cell r="C195"/>
          <cell r="D195"/>
        </row>
        <row r="196">
          <cell r="B196"/>
          <cell r="C196"/>
          <cell r="D196"/>
        </row>
        <row r="197">
          <cell r="B197"/>
          <cell r="C197"/>
          <cell r="D197"/>
        </row>
        <row r="198">
          <cell r="B198" t="str">
            <v>3   GAS</v>
          </cell>
          <cell r="C198"/>
          <cell r="D198"/>
        </row>
        <row r="200">
          <cell r="B200" t="str">
            <v>GAS</v>
          </cell>
          <cell r="C200"/>
          <cell r="D200" t="str">
            <v>Estado</v>
          </cell>
        </row>
        <row r="201">
          <cell r="B201" t="str">
            <v>Flexibles autorizados</v>
          </cell>
          <cell r="C201"/>
          <cell r="D201" t="str">
            <v>OK</v>
          </cell>
        </row>
        <row r="202">
          <cell r="B202" t="str">
            <v>Sistema de corte por pánico</v>
          </cell>
          <cell r="C202"/>
          <cell r="D202" t="str">
            <v>NO OK</v>
          </cell>
        </row>
        <row r="204">
          <cell r="B204" t="str">
            <v>Comentarios:</v>
          </cell>
          <cell r="C204"/>
          <cell r="D204"/>
        </row>
        <row r="205">
          <cell r="B205"/>
          <cell r="D205"/>
        </row>
        <row r="206">
          <cell r="B206"/>
          <cell r="D206"/>
        </row>
        <row r="207">
          <cell r="B207"/>
          <cell r="D207"/>
        </row>
        <row r="208">
          <cell r="B208"/>
          <cell r="D208"/>
        </row>
        <row r="209">
          <cell r="B209"/>
          <cell r="D209"/>
        </row>
        <row r="210">
          <cell r="B210"/>
          <cell r="D210"/>
        </row>
        <row r="211">
          <cell r="B211"/>
          <cell r="D211"/>
        </row>
        <row r="212">
          <cell r="B212"/>
          <cell r="D212"/>
        </row>
        <row r="213">
          <cell r="B213"/>
          <cell r="D213"/>
        </row>
        <row r="214">
          <cell r="B214"/>
          <cell r="D214"/>
        </row>
        <row r="215">
          <cell r="B215"/>
          <cell r="D215"/>
        </row>
        <row r="216">
          <cell r="B216"/>
          <cell r="D216"/>
        </row>
        <row r="217">
          <cell r="B217"/>
          <cell r="D217"/>
        </row>
        <row r="218">
          <cell r="B218"/>
          <cell r="D218"/>
        </row>
        <row r="220">
          <cell r="B220"/>
          <cell r="D220"/>
        </row>
        <row r="221">
          <cell r="B221"/>
          <cell r="D221"/>
        </row>
        <row r="222">
          <cell r="B222"/>
          <cell r="D222"/>
        </row>
        <row r="223">
          <cell r="B223"/>
          <cell r="D223"/>
        </row>
        <row r="224">
          <cell r="B224"/>
          <cell r="D224"/>
        </row>
        <row r="225">
          <cell r="B225"/>
          <cell r="D225"/>
        </row>
        <row r="226">
          <cell r="B226"/>
          <cell r="D226"/>
        </row>
        <row r="227">
          <cell r="B227"/>
          <cell r="D227"/>
        </row>
        <row r="228">
          <cell r="B228"/>
          <cell r="D228"/>
        </row>
        <row r="229">
          <cell r="B229"/>
          <cell r="D229"/>
        </row>
        <row r="230">
          <cell r="B230"/>
          <cell r="D230"/>
        </row>
        <row r="231">
          <cell r="B231"/>
          <cell r="D231"/>
        </row>
        <row r="232">
          <cell r="B232"/>
          <cell r="D232"/>
        </row>
        <row r="233">
          <cell r="B233"/>
          <cell r="D233"/>
        </row>
        <row r="234">
          <cell r="B234"/>
          <cell r="D234"/>
        </row>
        <row r="235">
          <cell r="B235"/>
          <cell r="D235"/>
        </row>
        <row r="236">
          <cell r="B236"/>
          <cell r="D236"/>
        </row>
        <row r="237">
          <cell r="B237"/>
          <cell r="D237"/>
        </row>
        <row r="238">
          <cell r="B238"/>
          <cell r="D238"/>
        </row>
        <row r="239">
          <cell r="B239"/>
          <cell r="D239"/>
        </row>
        <row r="240">
          <cell r="B240"/>
          <cell r="D240"/>
        </row>
        <row r="241">
          <cell r="B241"/>
          <cell r="D241"/>
        </row>
        <row r="242">
          <cell r="B242"/>
          <cell r="D242"/>
        </row>
        <row r="243">
          <cell r="B243"/>
          <cell r="D243"/>
        </row>
        <row r="244">
          <cell r="B244"/>
          <cell r="D244"/>
        </row>
        <row r="245">
          <cell r="B245"/>
          <cell r="D245"/>
        </row>
        <row r="246">
          <cell r="B246"/>
          <cell r="D246"/>
        </row>
        <row r="247">
          <cell r="B247"/>
          <cell r="D247"/>
        </row>
        <row r="248">
          <cell r="B248"/>
          <cell r="D248"/>
        </row>
        <row r="249">
          <cell r="B249"/>
          <cell r="D249"/>
        </row>
        <row r="250">
          <cell r="B250"/>
          <cell r="D250"/>
        </row>
        <row r="251">
          <cell r="B251" t="str">
            <v>4   OBSERVACIONES GENERALES</v>
          </cell>
          <cell r="C251"/>
          <cell r="D251"/>
        </row>
        <row r="252">
          <cell r="B252"/>
          <cell r="D252"/>
        </row>
        <row r="253">
          <cell r="B253" t="str">
            <v>Comentarios:</v>
          </cell>
          <cell r="C253" t="str">
            <v xml:space="preserve">Podar enredadera detrás de escalera de descenso a Rooftop 2. La hiedra dificulta el descenso y puede generar </v>
          </cell>
          <cell r="D253"/>
        </row>
        <row r="254">
          <cell r="B254"/>
          <cell r="C254" t="str">
            <v>un accidente.</v>
          </cell>
          <cell r="D254"/>
        </row>
        <row r="255">
          <cell r="B255"/>
          <cell r="C255" t="str">
            <v>Bandeja eléctrica Daisa apoyada sobre tanque degas.</v>
          </cell>
          <cell r="D255"/>
        </row>
        <row r="256">
          <cell r="B256"/>
          <cell r="D256"/>
        </row>
        <row r="257">
          <cell r="B257"/>
          <cell r="D257"/>
        </row>
        <row r="258">
          <cell r="B258"/>
          <cell r="D258"/>
        </row>
        <row r="259">
          <cell r="B259"/>
          <cell r="D259"/>
        </row>
        <row r="260">
          <cell r="B260"/>
          <cell r="D260"/>
        </row>
        <row r="261">
          <cell r="B261"/>
          <cell r="D261"/>
        </row>
        <row r="262">
          <cell r="B262"/>
          <cell r="D262"/>
        </row>
        <row r="263">
          <cell r="B263"/>
          <cell r="D263"/>
        </row>
        <row r="264">
          <cell r="B264"/>
          <cell r="D264"/>
        </row>
        <row r="265">
          <cell r="B265"/>
          <cell r="D265"/>
        </row>
        <row r="266">
          <cell r="B266"/>
          <cell r="D266"/>
        </row>
        <row r="267">
          <cell r="B267"/>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ZJFBYLWZF44VFI72HMI7O66YEK">
      <xxl21:absoluteUrl r:id="rId2"/>
    </xxl21:alternateUrls>
    <sheetNames>
      <sheetName val="Informe"/>
      <sheetName val="ROOFTOP"/>
      <sheetName val="MINISPLITS"/>
    </sheetNames>
    <sheetDataSet>
      <sheetData sheetId="0">
        <row r="2">
          <cell r="B2"/>
          <cell r="C2"/>
          <cell r="D2"/>
        </row>
        <row r="5">
          <cell r="B5" t="str">
            <v>SUCURSAL:</v>
          </cell>
          <cell r="C5" t="str">
            <v>DISCO 08</v>
          </cell>
          <cell r="D5"/>
        </row>
        <row r="6">
          <cell r="B6"/>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D08_R_01</v>
          </cell>
          <cell r="C13">
            <v>3</v>
          </cell>
          <cell r="D13">
            <v>3</v>
          </cell>
        </row>
        <row r="14">
          <cell r="B14" t="str">
            <v>D08_R_02</v>
          </cell>
          <cell r="C14">
            <v>3</v>
          </cell>
          <cell r="D14">
            <v>3</v>
          </cell>
        </row>
        <row r="15">
          <cell r="B15" t="str">
            <v>D08_R_03</v>
          </cell>
          <cell r="C15">
            <v>3</v>
          </cell>
          <cell r="D15">
            <v>3</v>
          </cell>
        </row>
        <row r="16">
          <cell r="B16" t="str">
            <v>D08_R_04</v>
          </cell>
          <cell r="C16">
            <v>3</v>
          </cell>
          <cell r="D16">
            <v>3</v>
          </cell>
        </row>
        <row r="17">
          <cell r="B17" t="str">
            <v>D08_R_05</v>
          </cell>
          <cell r="C17">
            <v>3</v>
          </cell>
          <cell r="D17">
            <v>3</v>
          </cell>
        </row>
        <row r="18">
          <cell r="B18" t="str">
            <v>D08_R_06</v>
          </cell>
          <cell r="C18">
            <v>3</v>
          </cell>
          <cell r="D18">
            <v>3</v>
          </cell>
        </row>
        <row r="19">
          <cell r="B19" t="str">
            <v>D08_R_07</v>
          </cell>
          <cell r="C19">
            <v>3</v>
          </cell>
          <cell r="D19">
            <v>3</v>
          </cell>
        </row>
        <row r="20">
          <cell r="B20" t="str">
            <v>D08_R_08</v>
          </cell>
          <cell r="C20">
            <v>3</v>
          </cell>
          <cell r="D20">
            <v>3</v>
          </cell>
        </row>
        <row r="21">
          <cell r="B21" t="str">
            <v>D08_S_01</v>
          </cell>
          <cell r="C21">
            <v>2</v>
          </cell>
          <cell r="D21">
            <v>3</v>
          </cell>
        </row>
        <row r="22">
          <cell r="B22" t="str">
            <v>D08_S_02</v>
          </cell>
          <cell r="C22">
            <v>2</v>
          </cell>
          <cell r="D22">
            <v>3</v>
          </cell>
        </row>
        <row r="23">
          <cell r="B23" t="str">
            <v>D08_S_03</v>
          </cell>
          <cell r="C23">
            <v>2</v>
          </cell>
          <cell r="D23">
            <v>3</v>
          </cell>
        </row>
        <row r="24">
          <cell r="B24"/>
          <cell r="C24"/>
          <cell r="D24"/>
        </row>
        <row r="25">
          <cell r="B25" t="str">
            <v xml:space="preserve">Comentarios: </v>
          </cell>
          <cell r="C25" t="str">
            <v>S_01</v>
          </cell>
          <cell r="D25" t="str">
            <v>Rejillas en unidad interior muy sucias. Limpiar.</v>
          </cell>
        </row>
        <row r="26">
          <cell r="B26" t="str">
            <v>S_02</v>
          </cell>
          <cell r="C26" t="str">
            <v>Rejilla en unidad interior caída. Reparar.</v>
          </cell>
          <cell r="D26"/>
        </row>
        <row r="27">
          <cell r="B27" t="str">
            <v>S_03</v>
          </cell>
          <cell r="C27" t="str">
            <v>Gabinete salpicado con poliuretano espandido.</v>
          </cell>
          <cell r="D27"/>
        </row>
        <row r="28">
          <cell r="B28" t="str">
            <v xml:space="preserve">S_02/03 </v>
          </cell>
          <cell r="C28" t="str">
            <v>Intercambiadores exteriores muy sucios. Limpiar.</v>
          </cell>
          <cell r="D28"/>
        </row>
        <row r="29">
          <cell r="B29"/>
          <cell r="C29"/>
          <cell r="D29"/>
        </row>
        <row r="30">
          <cell r="B30"/>
          <cell r="C30"/>
          <cell r="D30"/>
        </row>
        <row r="31">
          <cell r="B31"/>
          <cell r="C31"/>
          <cell r="D31"/>
        </row>
        <row r="32">
          <cell r="B32"/>
          <cell r="C32"/>
          <cell r="D32"/>
        </row>
        <row r="33">
          <cell r="B33"/>
          <cell r="C33"/>
          <cell r="D33"/>
        </row>
        <row r="34">
          <cell r="B34"/>
          <cell r="C34"/>
          <cell r="D34"/>
        </row>
        <row r="35">
          <cell r="B35"/>
          <cell r="C35"/>
          <cell r="D35"/>
        </row>
        <row r="36">
          <cell r="B36"/>
          <cell r="C36"/>
          <cell r="D36"/>
        </row>
        <row r="37">
          <cell r="B37"/>
          <cell r="C37"/>
          <cell r="D37"/>
        </row>
        <row r="57">
          <cell r="B57"/>
          <cell r="C57"/>
          <cell r="D57"/>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cell r="C104"/>
          <cell r="D104"/>
        </row>
        <row r="105">
          <cell r="B105"/>
          <cell r="C105"/>
          <cell r="D105"/>
        </row>
        <row r="106">
          <cell r="B106"/>
          <cell r="C106"/>
          <cell r="D106"/>
        </row>
        <row r="107">
          <cell r="B107"/>
          <cell r="C107"/>
          <cell r="D107"/>
        </row>
        <row r="108">
          <cell r="B108"/>
          <cell r="C108"/>
          <cell r="D108"/>
        </row>
        <row r="109">
          <cell r="B109"/>
          <cell r="C109"/>
          <cell r="D109"/>
        </row>
        <row r="110">
          <cell r="B110"/>
          <cell r="C110"/>
          <cell r="D110"/>
        </row>
        <row r="111">
          <cell r="B111"/>
          <cell r="C111"/>
          <cell r="D111"/>
        </row>
        <row r="112">
          <cell r="B112"/>
          <cell r="C112"/>
          <cell r="D112"/>
        </row>
        <row r="113">
          <cell r="B113"/>
          <cell r="C113"/>
          <cell r="D113"/>
        </row>
        <row r="114">
          <cell r="B114"/>
          <cell r="C114"/>
          <cell r="D114"/>
        </row>
        <row r="115">
          <cell r="B115"/>
          <cell r="C115"/>
          <cell r="D115"/>
        </row>
        <row r="116">
          <cell r="B116"/>
          <cell r="C116"/>
          <cell r="D116"/>
        </row>
        <row r="117">
          <cell r="B117"/>
          <cell r="C117"/>
          <cell r="D117"/>
        </row>
        <row r="118">
          <cell r="B118"/>
          <cell r="C118"/>
          <cell r="D118"/>
        </row>
        <row r="119">
          <cell r="B119"/>
          <cell r="C119"/>
          <cell r="D119"/>
        </row>
        <row r="120">
          <cell r="B120"/>
          <cell r="C120"/>
          <cell r="D120"/>
        </row>
        <row r="121">
          <cell r="B121"/>
          <cell r="C121"/>
          <cell r="D121"/>
        </row>
        <row r="122">
          <cell r="B122"/>
          <cell r="C122"/>
          <cell r="D122"/>
        </row>
        <row r="123">
          <cell r="B123"/>
          <cell r="C123"/>
          <cell r="D123"/>
        </row>
        <row r="124">
          <cell r="B124"/>
          <cell r="C124"/>
          <cell r="D124"/>
        </row>
        <row r="125">
          <cell r="B125"/>
          <cell r="C125"/>
          <cell r="D125"/>
        </row>
        <row r="126">
          <cell r="B126"/>
          <cell r="C126"/>
          <cell r="D126"/>
        </row>
        <row r="127">
          <cell r="B127"/>
          <cell r="C127"/>
          <cell r="D127"/>
        </row>
        <row r="128">
          <cell r="B128"/>
          <cell r="C128"/>
          <cell r="D128"/>
        </row>
        <row r="129">
          <cell r="B129"/>
          <cell r="C129"/>
          <cell r="D129"/>
        </row>
        <row r="130">
          <cell r="B130"/>
          <cell r="C130"/>
          <cell r="D130"/>
        </row>
        <row r="131">
          <cell r="B131"/>
          <cell r="C131"/>
          <cell r="D131"/>
        </row>
        <row r="132">
          <cell r="B132"/>
          <cell r="C132"/>
          <cell r="D132"/>
        </row>
        <row r="133">
          <cell r="B133"/>
          <cell r="C133"/>
          <cell r="D133"/>
        </row>
        <row r="134">
          <cell r="B134"/>
          <cell r="C134"/>
          <cell r="D134"/>
        </row>
        <row r="135">
          <cell r="B135"/>
          <cell r="C135"/>
          <cell r="D135"/>
        </row>
        <row r="136">
          <cell r="B136"/>
          <cell r="C136"/>
          <cell r="D136"/>
        </row>
        <row r="137">
          <cell r="B137"/>
          <cell r="C137"/>
          <cell r="D137"/>
        </row>
        <row r="138">
          <cell r="B138"/>
          <cell r="C138"/>
          <cell r="D138"/>
        </row>
        <row r="139">
          <cell r="B139"/>
          <cell r="C139"/>
          <cell r="D139"/>
        </row>
        <row r="140">
          <cell r="B140"/>
          <cell r="C140"/>
          <cell r="D140"/>
        </row>
        <row r="141">
          <cell r="B141"/>
          <cell r="C141"/>
          <cell r="D141"/>
        </row>
        <row r="142">
          <cell r="B142"/>
          <cell r="C142"/>
          <cell r="D142"/>
        </row>
        <row r="143">
          <cell r="B143"/>
          <cell r="C143"/>
          <cell r="D143"/>
        </row>
        <row r="144">
          <cell r="B144"/>
          <cell r="C144"/>
          <cell r="D144"/>
        </row>
        <row r="145">
          <cell r="B145"/>
          <cell r="C145"/>
          <cell r="D145"/>
        </row>
        <row r="146">
          <cell r="B146"/>
          <cell r="C146"/>
          <cell r="D146"/>
        </row>
        <row r="147">
          <cell r="B147"/>
          <cell r="C147"/>
          <cell r="D147"/>
        </row>
        <row r="148">
          <cell r="B148"/>
          <cell r="C148"/>
          <cell r="D148"/>
        </row>
        <row r="149">
          <cell r="B149"/>
          <cell r="C149"/>
          <cell r="D149"/>
        </row>
        <row r="150">
          <cell r="B150"/>
          <cell r="C150"/>
          <cell r="D150"/>
        </row>
        <row r="151">
          <cell r="B151"/>
          <cell r="C151"/>
          <cell r="D151"/>
        </row>
        <row r="152">
          <cell r="B152"/>
          <cell r="C152"/>
          <cell r="D152"/>
        </row>
        <row r="153">
          <cell r="B153"/>
          <cell r="C153"/>
          <cell r="D153"/>
        </row>
        <row r="154">
          <cell r="B154"/>
          <cell r="C154"/>
          <cell r="D154"/>
        </row>
        <row r="155">
          <cell r="B155"/>
          <cell r="C155"/>
          <cell r="D155"/>
        </row>
        <row r="156">
          <cell r="B156"/>
          <cell r="C156"/>
          <cell r="D156"/>
        </row>
        <row r="157">
          <cell r="B157"/>
          <cell r="C157"/>
          <cell r="D157"/>
        </row>
        <row r="158">
          <cell r="B158"/>
          <cell r="C158"/>
          <cell r="D158"/>
        </row>
        <row r="159">
          <cell r="B159"/>
          <cell r="C159"/>
          <cell r="D159"/>
        </row>
        <row r="160">
          <cell r="B160"/>
          <cell r="C160"/>
          <cell r="D160"/>
        </row>
        <row r="161">
          <cell r="B161"/>
          <cell r="C161"/>
          <cell r="D161"/>
        </row>
        <row r="162">
          <cell r="B162"/>
          <cell r="C162"/>
          <cell r="D162"/>
        </row>
        <row r="163">
          <cell r="B163"/>
          <cell r="C163"/>
          <cell r="D163"/>
        </row>
        <row r="164">
          <cell r="B164" t="str">
            <v>2   ELÉCTRICA</v>
          </cell>
          <cell r="C164"/>
          <cell r="D164"/>
        </row>
        <row r="166">
          <cell r="B166" t="str">
            <v>Código</v>
          </cell>
          <cell r="C166" t="str">
            <v>Estado</v>
          </cell>
          <cell r="D166" t="str">
            <v>Mantenimiento</v>
          </cell>
        </row>
        <row r="167">
          <cell r="B167" t="str">
            <v>Generador</v>
          </cell>
          <cell r="C167" t="str">
            <v>Generador</v>
          </cell>
          <cell r="D167" t="str">
            <v>Proveedor</v>
          </cell>
        </row>
        <row r="168">
          <cell r="B168" t="str">
            <v>D08_G_01</v>
          </cell>
          <cell r="C168">
            <v>3</v>
          </cell>
          <cell r="D168">
            <v>3</v>
          </cell>
        </row>
        <row r="169">
          <cell r="B169"/>
          <cell r="C169"/>
          <cell r="D169"/>
        </row>
        <row r="170">
          <cell r="B170" t="str">
            <v>GENERADOR</v>
          </cell>
          <cell r="C170"/>
          <cell r="D170" t="str">
            <v>Estado</v>
          </cell>
        </row>
        <row r="171">
          <cell r="B171" t="str">
            <v>Tanque de combustible</v>
          </cell>
          <cell r="C171"/>
          <cell r="D171">
            <v>0.75</v>
          </cell>
        </row>
        <row r="172">
          <cell r="B172" t="str">
            <v>Batería</v>
          </cell>
          <cell r="C172"/>
          <cell r="D172" t="str">
            <v>OK</v>
          </cell>
        </row>
        <row r="173">
          <cell r="B173" t="str">
            <v>Liquido refrigerante</v>
          </cell>
          <cell r="C173"/>
          <cell r="D173" t="str">
            <v>OK</v>
          </cell>
        </row>
        <row r="174">
          <cell r="B174" t="str">
            <v>Aceite</v>
          </cell>
          <cell r="C174"/>
          <cell r="D174" t="str">
            <v>OK</v>
          </cell>
        </row>
        <row r="175">
          <cell r="B175"/>
          <cell r="C175"/>
          <cell r="D175"/>
        </row>
        <row r="176">
          <cell r="B176"/>
          <cell r="C176"/>
          <cell r="D176"/>
        </row>
        <row r="177">
          <cell r="B177" t="str">
            <v xml:space="preserve">Comentarios: </v>
          </cell>
          <cell r="C177" t="str">
            <v>Retirar materiales en pasillo de generador.</v>
          </cell>
          <cell r="D177"/>
        </row>
        <row r="178">
          <cell r="B178"/>
          <cell r="C178" t="str">
            <v>Canalizar acometida eléctrica a grupo en bandeja Daisa.</v>
          </cell>
          <cell r="D178"/>
        </row>
        <row r="179">
          <cell r="B179"/>
          <cell r="C179"/>
          <cell r="D179"/>
        </row>
        <row r="180">
          <cell r="B180"/>
          <cell r="C180"/>
          <cell r="D180"/>
        </row>
        <row r="181">
          <cell r="B181"/>
          <cell r="C181"/>
          <cell r="D181"/>
        </row>
        <row r="182">
          <cell r="B182"/>
          <cell r="C182"/>
          <cell r="D182"/>
        </row>
        <row r="183">
          <cell r="B183"/>
          <cell r="C183"/>
          <cell r="D183"/>
        </row>
        <row r="184">
          <cell r="B184"/>
          <cell r="C184"/>
          <cell r="D184"/>
        </row>
        <row r="185">
          <cell r="B185"/>
          <cell r="C185"/>
          <cell r="D185"/>
        </row>
        <row r="186">
          <cell r="B186"/>
          <cell r="C186"/>
          <cell r="D186"/>
        </row>
        <row r="187">
          <cell r="B187"/>
          <cell r="C187"/>
          <cell r="D187"/>
        </row>
        <row r="188">
          <cell r="B188"/>
          <cell r="C188"/>
          <cell r="D188"/>
        </row>
        <row r="189">
          <cell r="B189"/>
          <cell r="C189"/>
          <cell r="D189"/>
        </row>
        <row r="190">
          <cell r="B190"/>
          <cell r="C190"/>
          <cell r="D190"/>
        </row>
        <row r="191">
          <cell r="B191"/>
          <cell r="C191"/>
          <cell r="D191"/>
        </row>
        <row r="192">
          <cell r="B192"/>
          <cell r="C192"/>
          <cell r="D192"/>
        </row>
        <row r="193">
          <cell r="B193"/>
          <cell r="C193"/>
          <cell r="D193"/>
        </row>
        <row r="194">
          <cell r="B194"/>
          <cell r="C194"/>
          <cell r="D194"/>
        </row>
        <row r="195">
          <cell r="B195"/>
          <cell r="C195"/>
          <cell r="D195"/>
        </row>
        <row r="196">
          <cell r="B196"/>
          <cell r="C196"/>
          <cell r="D196"/>
        </row>
        <row r="197">
          <cell r="B197"/>
          <cell r="C197"/>
          <cell r="D197"/>
        </row>
        <row r="198">
          <cell r="B198"/>
          <cell r="C198"/>
          <cell r="D198"/>
        </row>
        <row r="199">
          <cell r="B199"/>
          <cell r="C199"/>
          <cell r="D199"/>
        </row>
        <row r="200">
          <cell r="B200"/>
          <cell r="C200"/>
          <cell r="D200"/>
        </row>
        <row r="201">
          <cell r="B201"/>
          <cell r="C201"/>
          <cell r="D201"/>
        </row>
        <row r="202">
          <cell r="B202"/>
          <cell r="C202"/>
          <cell r="D202"/>
        </row>
        <row r="203">
          <cell r="B203"/>
          <cell r="C203"/>
          <cell r="D203"/>
        </row>
        <row r="204">
          <cell r="B204"/>
          <cell r="C204"/>
          <cell r="D204"/>
        </row>
        <row r="205">
          <cell r="B205"/>
          <cell r="C205"/>
          <cell r="D205"/>
        </row>
        <row r="206">
          <cell r="B206"/>
          <cell r="C206"/>
          <cell r="D206"/>
        </row>
        <row r="207">
          <cell r="B207"/>
          <cell r="C207"/>
          <cell r="D207"/>
        </row>
        <row r="208">
          <cell r="B208"/>
          <cell r="C208"/>
          <cell r="D208"/>
        </row>
        <row r="209">
          <cell r="B209"/>
          <cell r="C209"/>
          <cell r="D209"/>
        </row>
        <row r="210">
          <cell r="B210"/>
          <cell r="C210"/>
          <cell r="D210"/>
        </row>
        <row r="211">
          <cell r="B211"/>
          <cell r="C211"/>
          <cell r="D211"/>
        </row>
        <row r="212">
          <cell r="B212"/>
          <cell r="C212"/>
          <cell r="D212"/>
        </row>
        <row r="213">
          <cell r="B213"/>
          <cell r="C213"/>
          <cell r="D213"/>
        </row>
        <row r="214">
          <cell r="B214"/>
          <cell r="C214"/>
          <cell r="D214"/>
        </row>
        <row r="215">
          <cell r="B215"/>
          <cell r="C215"/>
          <cell r="D215"/>
        </row>
        <row r="216">
          <cell r="B216"/>
          <cell r="C216"/>
          <cell r="D216"/>
        </row>
        <row r="217">
          <cell r="B217"/>
          <cell r="C217"/>
          <cell r="D217"/>
        </row>
        <row r="218">
          <cell r="B218"/>
          <cell r="C218"/>
          <cell r="D218"/>
        </row>
        <row r="219">
          <cell r="B219"/>
          <cell r="C219"/>
          <cell r="D219"/>
        </row>
        <row r="220">
          <cell r="B220"/>
          <cell r="C220"/>
          <cell r="D220"/>
        </row>
        <row r="221">
          <cell r="B221"/>
          <cell r="C221"/>
          <cell r="D221"/>
        </row>
        <row r="222">
          <cell r="B222"/>
          <cell r="C222"/>
          <cell r="D222"/>
        </row>
        <row r="223">
          <cell r="B223"/>
          <cell r="C223"/>
          <cell r="D223"/>
        </row>
        <row r="224">
          <cell r="B224"/>
          <cell r="C224"/>
          <cell r="D224"/>
        </row>
        <row r="225">
          <cell r="B225"/>
          <cell r="C225"/>
          <cell r="D225"/>
        </row>
        <row r="226">
          <cell r="B226"/>
          <cell r="C226"/>
          <cell r="D226"/>
        </row>
        <row r="227">
          <cell r="B227" t="str">
            <v>SUBESTACIÓN</v>
          </cell>
          <cell r="C227"/>
          <cell r="D227" t="str">
            <v>Estado</v>
          </cell>
        </row>
        <row r="228">
          <cell r="B228" t="str">
            <v>Objetos extraños</v>
          </cell>
          <cell r="C228"/>
          <cell r="D228" t="str">
            <v>OK</v>
          </cell>
        </row>
        <row r="229">
          <cell r="B229" t="str">
            <v>Filtraciones de agua</v>
          </cell>
          <cell r="C229"/>
          <cell r="D229" t="str">
            <v>OK</v>
          </cell>
        </row>
        <row r="230">
          <cell r="B230" t="str">
            <v>Tableros eléctricos</v>
          </cell>
          <cell r="C230"/>
          <cell r="D230" t="str">
            <v>OK</v>
          </cell>
        </row>
        <row r="231">
          <cell r="B231" t="str">
            <v>Bancos de 
condensadores</v>
          </cell>
          <cell r="C231"/>
          <cell r="D231" t="str">
            <v>OK</v>
          </cell>
        </row>
        <row r="232">
          <cell r="B232"/>
          <cell r="C232"/>
          <cell r="D232"/>
        </row>
        <row r="233">
          <cell r="B233" t="str">
            <v xml:space="preserve">Comentarios: </v>
          </cell>
          <cell r="C233" t="str">
            <v>Retirar elementos apoyados contra jaula de protección de transformador.</v>
          </cell>
          <cell r="D233"/>
        </row>
        <row r="234">
          <cell r="B234"/>
          <cell r="C234"/>
          <cell r="D234"/>
        </row>
        <row r="235">
          <cell r="B235"/>
          <cell r="C235"/>
          <cell r="D235"/>
        </row>
        <row r="236">
          <cell r="B236"/>
          <cell r="C236"/>
          <cell r="D236"/>
        </row>
        <row r="237">
          <cell r="B237"/>
          <cell r="C237"/>
          <cell r="D237"/>
        </row>
        <row r="238">
          <cell r="B238"/>
          <cell r="C238"/>
          <cell r="D238"/>
        </row>
        <row r="239">
          <cell r="B239"/>
          <cell r="C239"/>
          <cell r="D239"/>
        </row>
        <row r="240">
          <cell r="B240"/>
          <cell r="C240"/>
          <cell r="D240"/>
        </row>
        <row r="241">
          <cell r="B241"/>
          <cell r="C241"/>
          <cell r="D241"/>
        </row>
        <row r="242">
          <cell r="B242"/>
          <cell r="C242"/>
          <cell r="D242"/>
        </row>
        <row r="243">
          <cell r="B243"/>
          <cell r="C243"/>
          <cell r="D243"/>
        </row>
        <row r="244">
          <cell r="B244"/>
          <cell r="C244"/>
          <cell r="D244"/>
        </row>
        <row r="245">
          <cell r="B245"/>
          <cell r="C245"/>
          <cell r="D245"/>
        </row>
        <row r="246">
          <cell r="B246"/>
          <cell r="C246"/>
          <cell r="D246"/>
        </row>
        <row r="247">
          <cell r="B247"/>
          <cell r="C247"/>
          <cell r="D247"/>
        </row>
        <row r="248">
          <cell r="B248"/>
          <cell r="C248"/>
          <cell r="D248"/>
        </row>
        <row r="249">
          <cell r="B249"/>
          <cell r="C249"/>
          <cell r="D249"/>
        </row>
        <row r="250">
          <cell r="B250"/>
          <cell r="C250"/>
          <cell r="D250"/>
        </row>
        <row r="251">
          <cell r="B251"/>
          <cell r="C251"/>
          <cell r="D251"/>
        </row>
        <row r="252">
          <cell r="B252"/>
          <cell r="C252"/>
          <cell r="D252"/>
        </row>
        <row r="253">
          <cell r="B253"/>
          <cell r="C253"/>
          <cell r="D253"/>
        </row>
        <row r="254">
          <cell r="B254"/>
          <cell r="C254"/>
          <cell r="D254"/>
        </row>
        <row r="255">
          <cell r="B255"/>
          <cell r="C255"/>
          <cell r="D255"/>
        </row>
        <row r="256">
          <cell r="B256"/>
          <cell r="C256"/>
          <cell r="D256"/>
        </row>
        <row r="257">
          <cell r="B257"/>
          <cell r="C257"/>
          <cell r="D257"/>
        </row>
        <row r="258">
          <cell r="B258"/>
          <cell r="C258"/>
          <cell r="D258"/>
        </row>
        <row r="259">
          <cell r="B259"/>
          <cell r="C259"/>
          <cell r="D259"/>
        </row>
        <row r="260">
          <cell r="B260"/>
          <cell r="C260"/>
          <cell r="D260"/>
        </row>
        <row r="261">
          <cell r="B261"/>
          <cell r="C261"/>
          <cell r="D261"/>
        </row>
        <row r="262">
          <cell r="B262"/>
          <cell r="C262"/>
          <cell r="D262"/>
        </row>
        <row r="263">
          <cell r="B263"/>
          <cell r="C263"/>
          <cell r="D263"/>
        </row>
        <row r="264">
          <cell r="B264"/>
          <cell r="C264"/>
          <cell r="D264"/>
        </row>
        <row r="265">
          <cell r="B265"/>
          <cell r="C265"/>
          <cell r="D265"/>
        </row>
        <row r="266">
          <cell r="B266"/>
          <cell r="C266"/>
          <cell r="D266"/>
        </row>
        <row r="267">
          <cell r="B267"/>
          <cell r="C267"/>
          <cell r="D267"/>
        </row>
        <row r="268">
          <cell r="B268"/>
          <cell r="C268"/>
          <cell r="D268"/>
        </row>
        <row r="269">
          <cell r="B269"/>
          <cell r="C269"/>
          <cell r="D269"/>
        </row>
        <row r="270">
          <cell r="B270"/>
          <cell r="C270"/>
          <cell r="D270"/>
        </row>
        <row r="271">
          <cell r="B271"/>
          <cell r="C271"/>
          <cell r="D271"/>
        </row>
        <row r="272">
          <cell r="B272" t="str">
            <v>UPS</v>
          </cell>
          <cell r="C272"/>
          <cell r="D272" t="str">
            <v>Estado</v>
          </cell>
        </row>
        <row r="273">
          <cell r="B273" t="str">
            <v>UPS en linea</v>
          </cell>
          <cell r="C273"/>
          <cell r="D273" t="str">
            <v>OK</v>
          </cell>
        </row>
        <row r="274">
          <cell r="B274" t="str">
            <v>Aire acondicionado dedicado</v>
          </cell>
          <cell r="C274"/>
          <cell r="D274" t="str">
            <v>OK</v>
          </cell>
        </row>
        <row r="275">
          <cell r="B275" t="str">
            <v>Estado de carga de baterías</v>
          </cell>
          <cell r="C275"/>
          <cell r="D275" t="str">
            <v>OK</v>
          </cell>
        </row>
        <row r="276">
          <cell r="B276"/>
          <cell r="C276"/>
          <cell r="D276"/>
        </row>
        <row r="277">
          <cell r="B277" t="str">
            <v xml:space="preserve">Comentarios: </v>
          </cell>
          <cell r="C277" t="str">
            <v>Organizar cableado de las UPS.</v>
          </cell>
          <cell r="D277"/>
        </row>
        <row r="286">
          <cell r="B286"/>
          <cell r="C286"/>
          <cell r="D286"/>
        </row>
        <row r="288">
          <cell r="B288" t="str">
            <v>3   GAS</v>
          </cell>
          <cell r="C288"/>
          <cell r="D288"/>
        </row>
        <row r="290">
          <cell r="B290" t="str">
            <v>GAS</v>
          </cell>
          <cell r="C290"/>
          <cell r="D290" t="str">
            <v>Estado</v>
          </cell>
        </row>
        <row r="291">
          <cell r="B291" t="str">
            <v>Flexibles autorizados</v>
          </cell>
          <cell r="C291"/>
          <cell r="D291" t="str">
            <v>OK</v>
          </cell>
        </row>
        <row r="292">
          <cell r="B292" t="str">
            <v>Sistema de corte por pánico</v>
          </cell>
          <cell r="C292"/>
          <cell r="D292" t="str">
            <v>OK</v>
          </cell>
        </row>
        <row r="293">
          <cell r="B293"/>
        </row>
        <row r="294">
          <cell r="B294" t="str">
            <v xml:space="preserve">Comentarios: </v>
          </cell>
          <cell r="C294" t="str">
            <v>Materiales acopiados en acceso a pasilla del lado hornos en panadería. Retirar.</v>
          </cell>
          <cell r="D294"/>
        </row>
        <row r="295">
          <cell r="B295"/>
          <cell r="C295"/>
          <cell r="D295"/>
        </row>
        <row r="296">
          <cell r="B296"/>
          <cell r="C296"/>
          <cell r="D296"/>
        </row>
        <row r="297">
          <cell r="B297"/>
          <cell r="C297"/>
          <cell r="D297"/>
        </row>
        <row r="298">
          <cell r="B298"/>
          <cell r="C298"/>
          <cell r="D298"/>
        </row>
        <row r="299">
          <cell r="B299"/>
          <cell r="C299"/>
          <cell r="D299"/>
        </row>
        <row r="300">
          <cell r="B300"/>
          <cell r="C300"/>
          <cell r="D300"/>
        </row>
      </sheetData>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6MB4UCR7FOVNG3YXSWPBDU2N2X">
      <xxl21:absoluteUrl r:id="rId2"/>
    </xxl21:alternateUrls>
    <sheetNames>
      <sheetName val="Informe"/>
      <sheetName val="ROOFTOP"/>
      <sheetName val="MINISPLITS"/>
    </sheetNames>
    <sheetDataSet>
      <sheetData sheetId="0">
        <row r="5">
          <cell r="B5" t="str">
            <v>SUCURSAL:</v>
          </cell>
          <cell r="C5" t="str">
            <v>DISCO 09</v>
          </cell>
        </row>
        <row r="7">
          <cell r="B7" t="str">
            <v>1   AIRE ACONDICIONADO</v>
          </cell>
          <cell r="C7"/>
          <cell r="D7"/>
        </row>
        <row r="9">
          <cell r="B9" t="str">
            <v>CD/CI_x000D_
Sucursal</v>
          </cell>
          <cell r="C9">
            <v>1</v>
          </cell>
        </row>
        <row r="11">
          <cell r="B11" t="str">
            <v>Código</v>
          </cell>
          <cell r="C11" t="str">
            <v>Estado del equipo</v>
          </cell>
          <cell r="D11"/>
        </row>
        <row r="12">
          <cell r="B12" t="str">
            <v>Equipo</v>
          </cell>
          <cell r="C12" t="str">
            <v>Intercambiadores</v>
          </cell>
          <cell r="D12" t="str">
            <v>Gabinete</v>
          </cell>
        </row>
        <row r="13">
          <cell r="B13" t="str">
            <v>D09_R_01</v>
          </cell>
          <cell r="C13">
            <v>2</v>
          </cell>
          <cell r="D13">
            <v>2</v>
          </cell>
        </row>
        <row r="14">
          <cell r="B14" t="str">
            <v>D09_R_02</v>
          </cell>
          <cell r="C14">
            <v>2</v>
          </cell>
          <cell r="D14">
            <v>2</v>
          </cell>
        </row>
        <row r="15">
          <cell r="B15" t="str">
            <v>D09_R_03</v>
          </cell>
          <cell r="C15">
            <v>2</v>
          </cell>
          <cell r="D15">
            <v>2</v>
          </cell>
        </row>
        <row r="16">
          <cell r="B16" t="str">
            <v>D09_R_04</v>
          </cell>
          <cell r="C16">
            <v>2</v>
          </cell>
          <cell r="D16">
            <v>2</v>
          </cell>
        </row>
        <row r="17">
          <cell r="B17" t="str">
            <v>D09_R_05</v>
          </cell>
          <cell r="C17">
            <v>2</v>
          </cell>
          <cell r="D17">
            <v>2</v>
          </cell>
        </row>
        <row r="18">
          <cell r="B18" t="str">
            <v>D09_R_06</v>
          </cell>
          <cell r="C18">
            <v>2</v>
          </cell>
          <cell r="D18">
            <v>2</v>
          </cell>
        </row>
        <row r="19">
          <cell r="B19" t="str">
            <v>D09_R_07</v>
          </cell>
          <cell r="C19">
            <v>2</v>
          </cell>
          <cell r="D19">
            <v>2</v>
          </cell>
        </row>
        <row r="20">
          <cell r="B20" t="str">
            <v>D09_R_08</v>
          </cell>
          <cell r="C20">
            <v>2</v>
          </cell>
          <cell r="D20">
            <v>2</v>
          </cell>
        </row>
        <row r="21">
          <cell r="B21" t="str">
            <v>D09_R_09</v>
          </cell>
          <cell r="C21">
            <v>2</v>
          </cell>
          <cell r="D21">
            <v>2</v>
          </cell>
        </row>
        <row r="22">
          <cell r="B22" t="str">
            <v>D09_R_10</v>
          </cell>
          <cell r="C22">
            <v>2</v>
          </cell>
          <cell r="D22">
            <v>2</v>
          </cell>
        </row>
        <row r="23">
          <cell r="B23" t="str">
            <v>D09_R_11</v>
          </cell>
          <cell r="C23">
            <v>2</v>
          </cell>
          <cell r="D23">
            <v>2</v>
          </cell>
        </row>
        <row r="24">
          <cell r="B24" t="str">
            <v>D09_S_01</v>
          </cell>
          <cell r="C24">
            <v>3</v>
          </cell>
          <cell r="D24">
            <v>3</v>
          </cell>
        </row>
        <row r="25">
          <cell r="B25"/>
        </row>
        <row r="26">
          <cell r="B26" t="str">
            <v>Comentarios:</v>
          </cell>
          <cell r="C26" t="str">
            <v>R_01</v>
          </cell>
          <cell r="D26" t="str">
            <v>Puerta abollada, no cierra correctamente.</v>
          </cell>
        </row>
        <row r="27">
          <cell r="B27"/>
          <cell r="C27" t="str">
            <v>R_01</v>
          </cell>
          <cell r="D27" t="str">
            <v>Intercambiador exterior sucio. Limpiar.</v>
          </cell>
        </row>
        <row r="28">
          <cell r="B28" t="str">
            <v>R_02</v>
          </cell>
          <cell r="C28" t="str">
            <v>Tapa de acceso a filtros salida y caida en el piso de planta.</v>
          </cell>
          <cell r="D28"/>
        </row>
        <row r="29">
          <cell r="B29" t="str">
            <v>R_04</v>
          </cell>
          <cell r="C29" t="str">
            <v>Tapa de acceso a filtros deformada.</v>
          </cell>
          <cell r="D29"/>
        </row>
        <row r="30">
          <cell r="B30" t="str">
            <v>R_03</v>
          </cell>
          <cell r="C30" t="str">
            <v>Tapa de acceso a eléctrica deformada.</v>
          </cell>
          <cell r="D30"/>
        </row>
        <row r="31">
          <cell r="B31" t="str">
            <v>R_03</v>
          </cell>
          <cell r="C31" t="str">
            <v>Roturas puntuales en aletado de intercambiador exterior.</v>
          </cell>
          <cell r="D31"/>
        </row>
        <row r="32">
          <cell r="B32" t="str">
            <v>R_06</v>
          </cell>
          <cell r="C32" t="str">
            <v>Intercambiador interior sucio. Limpiar.</v>
          </cell>
          <cell r="D32"/>
        </row>
        <row r="33">
          <cell r="B33" t="str">
            <v>R_07</v>
          </cell>
          <cell r="C33" t="str">
            <v>Tapa de acceso a filtros salida y apoyada sobre equipo.</v>
          </cell>
          <cell r="D33"/>
        </row>
        <row r="34">
          <cell r="B34" t="str">
            <v>R_07</v>
          </cell>
          <cell r="C34" t="str">
            <v>Intercambiador interior muy sucio. Limpiar.</v>
          </cell>
          <cell r="D34"/>
        </row>
        <row r="35">
          <cell r="B35" t="str">
            <v>R_08</v>
          </cell>
          <cell r="C35" t="str">
            <v>Tapa deformado y caída.</v>
          </cell>
          <cell r="D35"/>
        </row>
        <row r="36">
          <cell r="B36" t="str">
            <v>R_08</v>
          </cell>
          <cell r="C36" t="str">
            <v>Desagüe tapado y filtros sucios.</v>
          </cell>
          <cell r="D36"/>
        </row>
        <row r="37">
          <cell r="B37" t="str">
            <v>R_09</v>
          </cell>
          <cell r="C37" t="str">
            <v>Desagüe sujeto con cinta</v>
          </cell>
          <cell r="D37"/>
        </row>
        <row r="38">
          <cell r="B38" t="str">
            <v>R_11</v>
          </cell>
          <cell r="C38" t="str">
            <v>Faltan filtros de aire.</v>
          </cell>
          <cell r="D38"/>
        </row>
        <row r="39">
          <cell r="B39" t="str">
            <v>R_11</v>
          </cell>
          <cell r="C39" t="str">
            <v>Intercambiador interior muy sucio. Limpiar.</v>
          </cell>
          <cell r="D39"/>
        </row>
        <row r="40">
          <cell r="B40"/>
        </row>
        <row r="41">
          <cell r="B41"/>
        </row>
        <row r="42">
          <cell r="B42"/>
        </row>
        <row r="43">
          <cell r="B43"/>
        </row>
        <row r="44">
          <cell r="B44"/>
        </row>
        <row r="45">
          <cell r="B45"/>
        </row>
        <row r="46">
          <cell r="B46"/>
        </row>
        <row r="48">
          <cell r="B48"/>
        </row>
        <row r="49">
          <cell r="B49"/>
        </row>
        <row r="50">
          <cell r="B50"/>
        </row>
        <row r="51">
          <cell r="B51"/>
        </row>
        <row r="52">
          <cell r="B52"/>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B211" t="str">
            <v>2   ELÉCTRICA</v>
          </cell>
          <cell r="C211"/>
          <cell r="D211"/>
        </row>
        <row r="213">
          <cell r="B213" t="str">
            <v>Código</v>
          </cell>
          <cell r="C213" t="str">
            <v>Estado</v>
          </cell>
          <cell r="D213" t="str">
            <v>Mantenimiento</v>
          </cell>
        </row>
        <row r="214">
          <cell r="B214" t="str">
            <v>Generador</v>
          </cell>
          <cell r="C214" t="str">
            <v>Generador</v>
          </cell>
          <cell r="D214" t="str">
            <v>Proveedor</v>
          </cell>
        </row>
        <row r="215">
          <cell r="B215" t="str">
            <v>D09_G_01</v>
          </cell>
          <cell r="C215">
            <v>3</v>
          </cell>
          <cell r="D215">
            <v>3</v>
          </cell>
        </row>
        <row r="216">
          <cell r="B216"/>
        </row>
        <row r="217">
          <cell r="B217" t="str">
            <v>GENERADOR</v>
          </cell>
          <cell r="C217"/>
          <cell r="D217" t="str">
            <v>Estado</v>
          </cell>
        </row>
        <row r="218">
          <cell r="B218" t="str">
            <v xml:space="preserve">Tanque de combustible </v>
          </cell>
          <cell r="C218"/>
          <cell r="D218">
            <v>0.95</v>
          </cell>
        </row>
        <row r="219">
          <cell r="B219" t="str">
            <v>Batería</v>
          </cell>
          <cell r="C219"/>
          <cell r="D219" t="str">
            <v>OK</v>
          </cell>
        </row>
        <row r="220">
          <cell r="B220" t="str">
            <v>Liquido Refrigerante</v>
          </cell>
          <cell r="C220"/>
          <cell r="D220" t="str">
            <v>OK</v>
          </cell>
        </row>
        <row r="221">
          <cell r="B221" t="str">
            <v>Lubricante</v>
          </cell>
          <cell r="C221"/>
          <cell r="D221" t="str">
            <v>OK</v>
          </cell>
        </row>
        <row r="222">
          <cell r="B222"/>
        </row>
        <row r="223">
          <cell r="B223"/>
        </row>
        <row r="224">
          <cell r="B224"/>
        </row>
        <row r="225">
          <cell r="B225"/>
        </row>
        <row r="226">
          <cell r="B226"/>
        </row>
        <row r="229">
          <cell r="B229"/>
        </row>
        <row r="230">
          <cell r="B230"/>
        </row>
        <row r="231">
          <cell r="B231"/>
        </row>
        <row r="232">
          <cell r="B232"/>
          <cell r="C232"/>
        </row>
        <row r="233">
          <cell r="B233"/>
          <cell r="C233"/>
        </row>
        <row r="234">
          <cell r="B234"/>
          <cell r="C234"/>
        </row>
        <row r="235">
          <cell r="B235"/>
          <cell r="C235"/>
        </row>
        <row r="236">
          <cell r="B236"/>
          <cell r="C236"/>
        </row>
        <row r="237">
          <cell r="B237"/>
          <cell r="C237"/>
        </row>
        <row r="238">
          <cell r="B238"/>
          <cell r="C238"/>
        </row>
        <row r="239">
          <cell r="B239"/>
          <cell r="C239"/>
        </row>
        <row r="240">
          <cell r="B240"/>
          <cell r="C240"/>
        </row>
        <row r="241">
          <cell r="B241"/>
          <cell r="C241"/>
        </row>
        <row r="242">
          <cell r="B242"/>
          <cell r="C242"/>
        </row>
        <row r="243">
          <cell r="B243"/>
          <cell r="C243"/>
        </row>
        <row r="244">
          <cell r="B244"/>
          <cell r="C244"/>
        </row>
        <row r="245">
          <cell r="B245"/>
          <cell r="C245"/>
        </row>
        <row r="246">
          <cell r="B246"/>
          <cell r="C246"/>
        </row>
        <row r="247">
          <cell r="B247"/>
          <cell r="C247"/>
        </row>
        <row r="248">
          <cell r="B248"/>
          <cell r="C248"/>
        </row>
        <row r="249">
          <cell r="B249"/>
          <cell r="C249"/>
        </row>
        <row r="250">
          <cell r="B250"/>
          <cell r="C250"/>
        </row>
        <row r="251">
          <cell r="B251"/>
          <cell r="C251"/>
        </row>
        <row r="252">
          <cell r="B252"/>
          <cell r="C252"/>
        </row>
        <row r="253">
          <cell r="B253"/>
          <cell r="C253"/>
        </row>
        <row r="254">
          <cell r="B254"/>
          <cell r="C254"/>
        </row>
        <row r="255">
          <cell r="B255"/>
          <cell r="C255"/>
        </row>
        <row r="256">
          <cell r="B256"/>
          <cell r="C256"/>
        </row>
        <row r="257">
          <cell r="B257" t="str">
            <v>SUBESTACIÓN</v>
          </cell>
          <cell r="C257"/>
          <cell r="D257" t="str">
            <v>Estado</v>
          </cell>
        </row>
        <row r="258">
          <cell r="B258" t="str">
            <v>Objetos extraños</v>
          </cell>
          <cell r="C258"/>
          <cell r="D258" t="str">
            <v>OK</v>
          </cell>
        </row>
        <row r="259">
          <cell r="B259" t="str">
            <v>Filtraciones de agua</v>
          </cell>
          <cell r="C259"/>
          <cell r="D259" t="str">
            <v>OK</v>
          </cell>
        </row>
        <row r="260">
          <cell r="B260" t="str">
            <v>Tableros eléctricos</v>
          </cell>
          <cell r="C260"/>
          <cell r="D260" t="str">
            <v>OK</v>
          </cell>
        </row>
        <row r="261">
          <cell r="B261" t="str">
            <v>Bancos de _x000D_condensadores</v>
          </cell>
          <cell r="C261"/>
          <cell r="D261" t="str">
            <v>OK</v>
          </cell>
        </row>
        <row r="262">
          <cell r="D262"/>
        </row>
        <row r="263">
          <cell r="B263" t="str">
            <v>Comentarios:</v>
          </cell>
          <cell r="C263" t="str">
            <v>Pestillo de gabinete TSVN roto.</v>
          </cell>
          <cell r="D263"/>
        </row>
        <row r="264">
          <cell r="B264"/>
          <cell r="C264" t="str">
            <v>Cartel indicativo para no prender Aire acondicionado en el sector carnes. Controlar.</v>
          </cell>
          <cell r="D264"/>
        </row>
        <row r="265">
          <cell r="D265"/>
        </row>
        <row r="266">
          <cell r="D266"/>
        </row>
        <row r="267">
          <cell r="D267"/>
        </row>
        <row r="268">
          <cell r="D268"/>
        </row>
        <row r="269">
          <cell r="D269"/>
        </row>
        <row r="270">
          <cell r="D270"/>
        </row>
        <row r="271">
          <cell r="D271"/>
        </row>
        <row r="272">
          <cell r="D272"/>
        </row>
        <row r="273">
          <cell r="D273"/>
        </row>
        <row r="274">
          <cell r="D274"/>
        </row>
        <row r="275">
          <cell r="D275"/>
        </row>
        <row r="276">
          <cell r="D276"/>
        </row>
        <row r="277">
          <cell r="D277"/>
        </row>
        <row r="278">
          <cell r="D278"/>
        </row>
        <row r="279">
          <cell r="D279"/>
        </row>
        <row r="280">
          <cell r="D280"/>
        </row>
        <row r="281">
          <cell r="D281"/>
        </row>
        <row r="282">
          <cell r="D282"/>
        </row>
        <row r="283">
          <cell r="D283"/>
        </row>
        <row r="284">
          <cell r="D284"/>
        </row>
        <row r="285">
          <cell r="D285"/>
        </row>
        <row r="286">
          <cell r="D286"/>
        </row>
        <row r="287">
          <cell r="D287"/>
        </row>
        <row r="288">
          <cell r="D288"/>
        </row>
        <row r="289">
          <cell r="D289"/>
        </row>
        <row r="290">
          <cell r="D290"/>
        </row>
        <row r="291">
          <cell r="D291"/>
        </row>
        <row r="292">
          <cell r="D292"/>
        </row>
        <row r="293">
          <cell r="D293"/>
        </row>
        <row r="294">
          <cell r="D294"/>
        </row>
        <row r="295">
          <cell r="D295"/>
        </row>
        <row r="296">
          <cell r="D296"/>
        </row>
        <row r="297">
          <cell r="D297"/>
        </row>
        <row r="298">
          <cell r="D298"/>
        </row>
        <row r="299">
          <cell r="D299"/>
        </row>
        <row r="300">
          <cell r="D300"/>
        </row>
      </sheetData>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2IOI25T7DWGJHYNNL4OE5SELHI">
      <xxl21:absoluteUrl r:id="rId2"/>
    </xxl21:alternateUrls>
    <sheetNames>
      <sheetName val="Informe"/>
      <sheetName val="SPLITS"/>
      <sheetName val="MINISPLITS"/>
    </sheetNames>
    <sheetDataSet>
      <sheetData sheetId="0">
        <row r="4">
          <cell r="B4" t="str">
            <v>SUCURSAL:</v>
          </cell>
          <cell r="C4" t="str">
            <v>DISCO 10</v>
          </cell>
        </row>
        <row r="6">
          <cell r="B6" t="str">
            <v>1   AIRE ACONDICIONADO</v>
          </cell>
          <cell r="C6"/>
          <cell r="D6"/>
        </row>
        <row r="8">
          <cell r="B8" t="str">
            <v>CD/CI_x000D_
Sucursal</v>
          </cell>
          <cell r="C8">
            <v>0.9</v>
          </cell>
        </row>
        <row r="10">
          <cell r="B10" t="str">
            <v>Código</v>
          </cell>
          <cell r="C10"/>
          <cell r="D10" t="str">
            <v>Estado del equipo</v>
          </cell>
        </row>
        <row r="11">
          <cell r="B11" t="str">
            <v>Equipo</v>
          </cell>
          <cell r="C11" t="str">
            <v>Intercambiadores</v>
          </cell>
          <cell r="D11" t="str">
            <v>Gabinete</v>
          </cell>
        </row>
        <row r="12">
          <cell r="B12" t="str">
            <v>D10_S_01</v>
          </cell>
          <cell r="C12">
            <v>3</v>
          </cell>
          <cell r="D12">
            <v>2</v>
          </cell>
        </row>
        <row r="13">
          <cell r="B13" t="str">
            <v>D10_S_02</v>
          </cell>
          <cell r="C13">
            <v>3</v>
          </cell>
          <cell r="D13">
            <v>2</v>
          </cell>
        </row>
        <row r="14">
          <cell r="B14" t="str">
            <v>D10_S_03</v>
          </cell>
          <cell r="C14">
            <v>3</v>
          </cell>
          <cell r="D14">
            <v>2</v>
          </cell>
        </row>
        <row r="15">
          <cell r="B15" t="str">
            <v>D10_S_04</v>
          </cell>
          <cell r="C15">
            <v>3</v>
          </cell>
          <cell r="D15">
            <v>2</v>
          </cell>
        </row>
        <row r="16">
          <cell r="B16" t="str">
            <v>D10_S_05</v>
          </cell>
          <cell r="C16">
            <v>3</v>
          </cell>
          <cell r="D16">
            <v>2</v>
          </cell>
        </row>
        <row r="17">
          <cell r="B17" t="str">
            <v>D10_S_06</v>
          </cell>
          <cell r="C17">
            <v>3</v>
          </cell>
          <cell r="D17">
            <v>2</v>
          </cell>
        </row>
        <row r="18">
          <cell r="B18" t="str">
            <v>D10_S_07</v>
          </cell>
          <cell r="C18">
            <v>3</v>
          </cell>
          <cell r="D18">
            <v>2</v>
          </cell>
        </row>
        <row r="19">
          <cell r="B19" t="str">
            <v>D10_S_08</v>
          </cell>
          <cell r="C19">
            <v>3</v>
          </cell>
          <cell r="D19">
            <v>2</v>
          </cell>
        </row>
        <row r="20">
          <cell r="B20" t="str">
            <v>D10_S_09</v>
          </cell>
          <cell r="C20">
            <v>3</v>
          </cell>
          <cell r="D20">
            <v>2</v>
          </cell>
        </row>
        <row r="21">
          <cell r="B21" t="str">
            <v>D10_S_10</v>
          </cell>
          <cell r="C21">
            <v>3</v>
          </cell>
          <cell r="D21">
            <v>2</v>
          </cell>
        </row>
        <row r="22">
          <cell r="D22"/>
        </row>
        <row r="23">
          <cell r="B23" t="str">
            <v>Comentarios:</v>
          </cell>
          <cell r="C23"/>
          <cell r="D23"/>
        </row>
        <row r="24">
          <cell r="B24" t="str">
            <v>S_04</v>
          </cell>
          <cell r="C24" t="str">
            <v>Rejilla cobertora de forzador salida. Colocar.</v>
          </cell>
          <cell r="D24"/>
        </row>
        <row r="25">
          <cell r="B25" t="str">
            <v>S_10</v>
          </cell>
          <cell r="C25" t="str">
            <v>No prende</v>
          </cell>
          <cell r="D25"/>
        </row>
        <row r="26">
          <cell r="B26" t="str">
            <v>S_01/03/04</v>
          </cell>
          <cell r="C26" t="str">
            <v>Rejillas interiores rotas. Reparar.</v>
          </cell>
          <cell r="D26"/>
        </row>
        <row r="27">
          <cell r="B27" t="str">
            <v>S_01 - S_10</v>
          </cell>
          <cell r="C27" t="str">
            <v>Rejillas en unidades interiores sucias. Limpiar.</v>
          </cell>
          <cell r="D27"/>
        </row>
        <row r="28">
          <cell r="B28" t="str">
            <v>UE_S_10/09/08/07</v>
          </cell>
          <cell r="C28" t="str">
            <v>Panal de abejas impide el pasaje a unidades exteriores.</v>
          </cell>
          <cell r="D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D45"/>
        </row>
        <row r="46">
          <cell r="D46"/>
        </row>
        <row r="47">
          <cell r="D47"/>
        </row>
        <row r="48">
          <cell r="D48"/>
        </row>
        <row r="49">
          <cell r="D49"/>
        </row>
        <row r="50">
          <cell r="D50"/>
        </row>
        <row r="51">
          <cell r="D51"/>
        </row>
        <row r="52">
          <cell r="D5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B100" t="str">
            <v>Código</v>
          </cell>
          <cell r="C100" t="str">
            <v>Estado</v>
          </cell>
          <cell r="D100" t="str">
            <v>Mantenimiento</v>
          </cell>
        </row>
        <row r="101">
          <cell r="B101" t="str">
            <v>Generador</v>
          </cell>
          <cell r="C101" t="str">
            <v>Generador</v>
          </cell>
          <cell r="D101" t="str">
            <v>Proveedor</v>
          </cell>
        </row>
        <row r="102">
          <cell r="B102" t="str">
            <v>D10_G_01</v>
          </cell>
          <cell r="C102">
            <v>3</v>
          </cell>
          <cell r="D102">
            <v>3</v>
          </cell>
        </row>
        <row r="103">
          <cell r="B103"/>
          <cell r="C103"/>
        </row>
        <row r="104">
          <cell r="B104" t="str">
            <v>GENERADOR</v>
          </cell>
          <cell r="C104"/>
          <cell r="D104" t="str">
            <v>Estado</v>
          </cell>
        </row>
        <row r="105">
          <cell r="B105" t="str">
            <v xml:space="preserve">Tanque de Combustible </v>
          </cell>
          <cell r="C105"/>
          <cell r="D105" t="str">
            <v>-</v>
          </cell>
        </row>
        <row r="106">
          <cell r="B106" t="str">
            <v>Batería</v>
          </cell>
          <cell r="C106"/>
          <cell r="D106" t="str">
            <v>OK</v>
          </cell>
        </row>
        <row r="107">
          <cell r="B107" t="str">
            <v xml:space="preserve">Liquido refrigerante </v>
          </cell>
          <cell r="C107"/>
          <cell r="D107" t="str">
            <v>OK</v>
          </cell>
        </row>
        <row r="108">
          <cell r="B108" t="str">
            <v>Aceite</v>
          </cell>
          <cell r="C108"/>
          <cell r="D108" t="str">
            <v>OK</v>
          </cell>
        </row>
        <row r="110">
          <cell r="B110" t="str">
            <v>Comentarios:</v>
          </cell>
          <cell r="C110" t="str">
            <v>Presencia de refrigerante en batea del generador. Controlar pérdidas.</v>
          </cell>
          <cell r="D110"/>
        </row>
        <row r="112">
          <cell r="B112"/>
          <cell r="C112"/>
        </row>
        <row r="113">
          <cell r="B113"/>
          <cell r="C113"/>
          <cell r="D113"/>
        </row>
        <row r="114">
          <cell r="C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53">
          <cell r="B153" t="str">
            <v>SUBESTACIÓN</v>
          </cell>
          <cell r="C153"/>
          <cell r="D153" t="str">
            <v>Estado</v>
          </cell>
        </row>
        <row r="154">
          <cell r="B154" t="str">
            <v>Objetos extraños</v>
          </cell>
          <cell r="C154"/>
          <cell r="D154" t="str">
            <v>OK</v>
          </cell>
        </row>
        <row r="155">
          <cell r="B155" t="str">
            <v>Filtraciones de agua</v>
          </cell>
          <cell r="C155"/>
          <cell r="D155" t="str">
            <v>OK</v>
          </cell>
        </row>
        <row r="156">
          <cell r="B156" t="str">
            <v>Tableros eléctricos</v>
          </cell>
          <cell r="C156"/>
          <cell r="D156" t="str">
            <v>OK</v>
          </cell>
        </row>
        <row r="157">
          <cell r="B157" t="str">
            <v>Bancos de _x000D_condensadores</v>
          </cell>
          <cell r="C157"/>
          <cell r="D157" t="str">
            <v>OK</v>
          </cell>
        </row>
        <row r="158">
          <cell r="B158"/>
        </row>
        <row r="159">
          <cell r="B159" t="str">
            <v>Comentarios:</v>
          </cell>
          <cell r="C159" t="str">
            <v>Interruptor CHINT lado izquierdo en tablero factor de potencia, acometida inferior a 44°C. Verificar.</v>
          </cell>
          <cell r="D159"/>
        </row>
        <row r="161">
          <cell r="B161"/>
        </row>
        <row r="162">
          <cell r="B162"/>
        </row>
        <row r="163">
          <cell r="B163"/>
        </row>
        <row r="164">
          <cell r="B164"/>
        </row>
        <row r="165">
          <cell r="B165"/>
        </row>
        <row r="166">
          <cell r="B166"/>
        </row>
        <row r="167">
          <cell r="B167"/>
        </row>
        <row r="168">
          <cell r="B168"/>
        </row>
        <row r="169">
          <cell r="B169"/>
        </row>
        <row r="170">
          <cell r="B170"/>
        </row>
        <row r="171">
          <cell r="B171"/>
        </row>
        <row r="172">
          <cell r="B172"/>
        </row>
        <row r="173">
          <cell r="B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t="str">
            <v>UPS</v>
          </cell>
          <cell r="C188"/>
          <cell r="D188" t="str">
            <v>Estado</v>
          </cell>
        </row>
        <row r="189">
          <cell r="B189" t="str">
            <v>UPS en línea</v>
          </cell>
          <cell r="C189"/>
          <cell r="D189" t="str">
            <v>OK</v>
          </cell>
        </row>
        <row r="190">
          <cell r="B190" t="str">
            <v>Aire acondicionado dedicado</v>
          </cell>
          <cell r="C190"/>
          <cell r="D190" t="str">
            <v>OK</v>
          </cell>
        </row>
        <row r="191">
          <cell r="B191" t="str">
            <v>Estado de carga de baterías</v>
          </cell>
          <cell r="C191"/>
          <cell r="D191" t="str">
            <v>OK</v>
          </cell>
        </row>
        <row r="192">
          <cell r="C192"/>
          <cell r="D192"/>
        </row>
        <row r="193">
          <cell r="B193"/>
        </row>
        <row r="194">
          <cell r="B194"/>
        </row>
        <row r="195">
          <cell r="B195"/>
        </row>
        <row r="196">
          <cell r="B196"/>
        </row>
        <row r="197">
          <cell r="B197"/>
        </row>
        <row r="198">
          <cell r="B198"/>
        </row>
        <row r="199">
          <cell r="B199"/>
        </row>
        <row r="200">
          <cell r="B200"/>
        </row>
        <row r="201">
          <cell r="B201"/>
        </row>
        <row r="202">
          <cell r="B202" t="str">
            <v>3   GAS</v>
          </cell>
          <cell r="C202"/>
          <cell r="D202"/>
        </row>
        <row r="204">
          <cell r="B204" t="str">
            <v>GAS</v>
          </cell>
          <cell r="C204"/>
          <cell r="D204" t="str">
            <v>Estado</v>
          </cell>
        </row>
        <row r="205">
          <cell r="B205" t="str">
            <v>Flexibles autorizados</v>
          </cell>
          <cell r="C205"/>
          <cell r="D205" t="str">
            <v>OK</v>
          </cell>
        </row>
        <row r="206">
          <cell r="B206" t="str">
            <v>Sistema de corte por pánico</v>
          </cell>
          <cell r="C206"/>
          <cell r="D206" t="str">
            <v>NO OK</v>
          </cell>
        </row>
        <row r="207">
          <cell r="B207"/>
          <cell r="C207"/>
        </row>
        <row r="208">
          <cell r="B208" t="str">
            <v>Comentarios:</v>
          </cell>
          <cell r="C208" t="str">
            <v>Panadería no presenta corte por pánico de gas.</v>
          </cell>
          <cell r="D208"/>
        </row>
        <row r="209">
          <cell r="B209"/>
          <cell r="C209" t="str">
            <v>Corte por pánico en rotisería es manual. Colocar botón.</v>
          </cell>
          <cell r="D209"/>
        </row>
        <row r="210">
          <cell r="B210" t="str">
            <v>Cañería de gas en rotisería sin llaves.</v>
          </cell>
          <cell r="C210"/>
          <cell r="D210"/>
        </row>
      </sheetData>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6ISP2HTMCWNAYXRUSAD23GZU4">
      <xxl21:absoluteUrl r:id="rId2"/>
    </xxl21:alternateUrls>
    <sheetNames>
      <sheetName val="Informe"/>
    </sheetNames>
    <sheetDataSet>
      <sheetData sheetId="0">
        <row r="5">
          <cell r="B5" t="str">
            <v>SUCURSAL:</v>
          </cell>
          <cell r="C5" t="str">
            <v>DISCO 11</v>
          </cell>
        </row>
        <row r="7">
          <cell r="B7" t="str">
            <v>1   AIRE ACONDICIONADO</v>
          </cell>
          <cell r="C7"/>
          <cell r="D7"/>
        </row>
        <row r="9">
          <cell r="B9" t="str">
            <v>CD/CI
Sucursal</v>
          </cell>
          <cell r="C9">
            <v>0.93200000000000005</v>
          </cell>
        </row>
        <row r="11">
          <cell r="B11" t="str">
            <v>Código</v>
          </cell>
          <cell r="C11"/>
          <cell r="D11" t="str">
            <v>Estado del equipo</v>
          </cell>
        </row>
        <row r="12">
          <cell r="B12" t="str">
            <v>Equipo</v>
          </cell>
          <cell r="C12" t="str">
            <v>Intercambiadores</v>
          </cell>
          <cell r="D12" t="str">
            <v>Gabinete</v>
          </cell>
        </row>
        <row r="13">
          <cell r="B13" t="str">
            <v>D11_R_01</v>
          </cell>
          <cell r="C13">
            <v>2</v>
          </cell>
          <cell r="D13">
            <v>1</v>
          </cell>
        </row>
        <row r="14">
          <cell r="B14" t="str">
            <v>D11_R_02</v>
          </cell>
          <cell r="C14">
            <v>2</v>
          </cell>
          <cell r="D14">
            <v>1</v>
          </cell>
        </row>
        <row r="15">
          <cell r="B15" t="str">
            <v>D11_R_03</v>
          </cell>
          <cell r="C15">
            <v>2</v>
          </cell>
          <cell r="D15">
            <v>1</v>
          </cell>
        </row>
        <row r="16">
          <cell r="B16" t="str">
            <v>D11_R_04</v>
          </cell>
          <cell r="C16">
            <v>2</v>
          </cell>
          <cell r="D16">
            <v>1</v>
          </cell>
        </row>
        <row r="17">
          <cell r="B17" t="str">
            <v>D11_R_05</v>
          </cell>
          <cell r="C17">
            <v>2</v>
          </cell>
          <cell r="D17">
            <v>1</v>
          </cell>
        </row>
        <row r="18">
          <cell r="B18" t="str">
            <v>D11_R_06</v>
          </cell>
          <cell r="C18">
            <v>2</v>
          </cell>
          <cell r="D18">
            <v>1</v>
          </cell>
        </row>
        <row r="19">
          <cell r="B19" t="str">
            <v>D11_S_01</v>
          </cell>
          <cell r="C19">
            <v>3</v>
          </cell>
          <cell r="D19">
            <v>3</v>
          </cell>
        </row>
        <row r="20">
          <cell r="B20" t="str">
            <v>D11_S_02</v>
          </cell>
          <cell r="C20">
            <v>3</v>
          </cell>
          <cell r="D20">
            <v>3</v>
          </cell>
        </row>
        <row r="21">
          <cell r="B21" t="str">
            <v>D11_S_07</v>
          </cell>
          <cell r="C21">
            <v>3</v>
          </cell>
          <cell r="D21">
            <v>3</v>
          </cell>
        </row>
        <row r="22">
          <cell r="D22"/>
        </row>
        <row r="23">
          <cell r="B23" t="str">
            <v>Comentarios:</v>
          </cell>
          <cell r="C23" t="str">
            <v>R_05</v>
          </cell>
          <cell r="D23" t="str">
            <v>Filtros en entrada de renovación de aire rotos. Reparar.</v>
          </cell>
        </row>
        <row r="24">
          <cell r="B24" t="str">
            <v>R_05</v>
          </cell>
          <cell r="C24" t="str">
            <v>Aislación acústica en zona de compresores muy rota. Reparar.</v>
          </cell>
          <cell r="D24"/>
        </row>
        <row r="25">
          <cell r="B25" t="str">
            <v>R_05</v>
          </cell>
          <cell r="C25" t="str">
            <v xml:space="preserve">Correa floja, emito un sonido muy alto. </v>
          </cell>
          <cell r="D25"/>
        </row>
        <row r="26">
          <cell r="B26" t="str">
            <v>R_05</v>
          </cell>
          <cell r="C26" t="str">
            <v>Filtros e intercambiadores interiores muy sucios. Limpiar.</v>
          </cell>
          <cell r="D26"/>
        </row>
        <row r="27">
          <cell r="B27" t="str">
            <v>R_04</v>
          </cell>
          <cell r="C27" t="str">
            <v>Falta un ventilador.</v>
          </cell>
          <cell r="D27"/>
        </row>
        <row r="28">
          <cell r="B28" t="str">
            <v>R_04</v>
          </cell>
          <cell r="C28" t="str">
            <v>Techo de gabinete abollado acumula agua.</v>
          </cell>
          <cell r="D28"/>
        </row>
        <row r="29">
          <cell r="B29" t="str">
            <v>R_04</v>
          </cell>
          <cell r="C29" t="str">
            <v>Puerta de acceso a filtros sin tornillería.</v>
          </cell>
          <cell r="D29"/>
        </row>
        <row r="30">
          <cell r="B30" t="str">
            <v>R_03</v>
          </cell>
          <cell r="C30" t="str">
            <v>Personal de AllEnergy se encontraba cambiando un transformador.</v>
          </cell>
          <cell r="D30"/>
        </row>
        <row r="31">
          <cell r="B31" t="str">
            <v>R_03</v>
          </cell>
          <cell r="C31" t="str">
            <v>Interior de gabinete en avanzado estado de oxidación.</v>
          </cell>
          <cell r="D31"/>
        </row>
        <row r="32">
          <cell r="B32" t="str">
            <v>R_02</v>
          </cell>
          <cell r="C32" t="str">
            <v>Parte inferior de gabinete en avanzado estado de oxidación. Cambiar.</v>
          </cell>
          <cell r="D32"/>
        </row>
        <row r="33">
          <cell r="B33" t="str">
            <v>R_02</v>
          </cell>
          <cell r="C33" t="str">
            <v>Agua de consensación cae sobre techo de chapa.</v>
          </cell>
          <cell r="D33"/>
        </row>
        <row r="34">
          <cell r="B34" t="str">
            <v>R_02</v>
          </cell>
          <cell r="C34" t="str">
            <v>Puerta y marco abollados.</v>
          </cell>
          <cell r="D34"/>
        </row>
        <row r="172">
          <cell r="B172" t="str">
            <v>2   ELÉCTRICA</v>
          </cell>
          <cell r="C172"/>
          <cell r="D172"/>
        </row>
        <row r="174">
          <cell r="B174" t="str">
            <v>Código</v>
          </cell>
          <cell r="C174" t="str">
            <v>Estado</v>
          </cell>
          <cell r="D174" t="str">
            <v>Mantenimiento</v>
          </cell>
        </row>
        <row r="175">
          <cell r="B175" t="str">
            <v>Generador</v>
          </cell>
          <cell r="C175" t="str">
            <v>Generador</v>
          </cell>
          <cell r="D175" t="str">
            <v>Proveedor</v>
          </cell>
        </row>
        <row r="176">
          <cell r="B176" t="str">
            <v>D11_G_01</v>
          </cell>
          <cell r="C176">
            <v>2</v>
          </cell>
          <cell r="D176">
            <v>3</v>
          </cell>
        </row>
        <row r="177">
          <cell r="B177"/>
          <cell r="C177"/>
          <cell r="D177"/>
        </row>
        <row r="178">
          <cell r="B178" t="str">
            <v>GENERADOR</v>
          </cell>
          <cell r="C178"/>
          <cell r="D178" t="str">
            <v>Estado</v>
          </cell>
        </row>
        <row r="179">
          <cell r="B179" t="str">
            <v>Tanque de Combustible</v>
          </cell>
          <cell r="C179"/>
          <cell r="D179">
            <v>0.6</v>
          </cell>
        </row>
        <row r="180">
          <cell r="B180" t="str">
            <v>Batería</v>
          </cell>
          <cell r="C180"/>
          <cell r="D180" t="str">
            <v>OK</v>
          </cell>
        </row>
        <row r="181">
          <cell r="B181" t="str">
            <v xml:space="preserve">Liquido refrigerante </v>
          </cell>
          <cell r="C181"/>
          <cell r="D181" t="str">
            <v>OK</v>
          </cell>
        </row>
        <row r="182">
          <cell r="B182" t="str">
            <v>Lubricante</v>
          </cell>
          <cell r="C182"/>
          <cell r="D182" t="str">
            <v>OK</v>
          </cell>
        </row>
        <row r="183">
          <cell r="B183" t="str">
            <v>Comentarios:</v>
          </cell>
          <cell r="C183" t="str">
            <v>Colocar tapa a bandeja eléctrica Daisa de acometida eléctrica a generador.</v>
          </cell>
          <cell r="D183"/>
        </row>
        <row r="184">
          <cell r="B184"/>
        </row>
        <row r="185">
          <cell r="B185"/>
        </row>
        <row r="186">
          <cell r="B186"/>
        </row>
        <row r="187">
          <cell r="B187"/>
        </row>
        <row r="188">
          <cell r="B188"/>
        </row>
        <row r="189">
          <cell r="B189"/>
        </row>
        <row r="190">
          <cell r="B190"/>
        </row>
        <row r="204">
          <cell r="B204" t="str">
            <v>SUBESTACIÓN</v>
          </cell>
          <cell r="C204"/>
          <cell r="D204"/>
        </row>
        <row r="205">
          <cell r="B205" t="str">
            <v>Objetos extraños</v>
          </cell>
          <cell r="C205"/>
          <cell r="D205" t="str">
            <v>OK</v>
          </cell>
        </row>
        <row r="206">
          <cell r="B206" t="str">
            <v>Filtraciones de agua</v>
          </cell>
          <cell r="C206"/>
          <cell r="D206" t="str">
            <v>OK</v>
          </cell>
        </row>
        <row r="207">
          <cell r="B207" t="str">
            <v>Tableros eléctricos</v>
          </cell>
          <cell r="C207"/>
          <cell r="D207" t="str">
            <v>OK</v>
          </cell>
        </row>
        <row r="208">
          <cell r="B208" t="str">
            <v>Bancos de 
condensadores</v>
          </cell>
          <cell r="C208" t="str">
            <v>, al lado de general</v>
          </cell>
          <cell r="D208" t="str">
            <v>OK</v>
          </cell>
        </row>
        <row r="264">
          <cell r="B264" t="str">
            <v>UPS</v>
          </cell>
          <cell r="C264"/>
          <cell r="D264" t="str">
            <v>Estado</v>
          </cell>
        </row>
        <row r="265">
          <cell r="B265" t="str">
            <v>UPS en linea</v>
          </cell>
          <cell r="C265"/>
          <cell r="D265" t="str">
            <v>OK</v>
          </cell>
        </row>
        <row r="266">
          <cell r="B266" t="str">
            <v>Aire acondicionado dedicado</v>
          </cell>
          <cell r="C266"/>
          <cell r="D266" t="str">
            <v>OK</v>
          </cell>
        </row>
        <row r="267">
          <cell r="B267" t="str">
            <v>Estado de carga de baterías</v>
          </cell>
          <cell r="C267"/>
          <cell r="D267" t="str">
            <v>OK</v>
          </cell>
        </row>
        <row r="268">
          <cell r="C268"/>
          <cell r="D268"/>
        </row>
        <row r="269">
          <cell r="B269"/>
          <cell r="D269"/>
        </row>
        <row r="270">
          <cell r="B270"/>
          <cell r="D270"/>
        </row>
        <row r="271">
          <cell r="B271"/>
          <cell r="C271"/>
          <cell r="D271"/>
        </row>
        <row r="272">
          <cell r="B272"/>
          <cell r="C272"/>
          <cell r="D272"/>
        </row>
        <row r="273">
          <cell r="B273"/>
          <cell r="C273"/>
          <cell r="D273"/>
        </row>
        <row r="274">
          <cell r="B274"/>
          <cell r="C274"/>
          <cell r="D274"/>
        </row>
        <row r="275">
          <cell r="B275"/>
          <cell r="C275"/>
          <cell r="D275"/>
        </row>
        <row r="276">
          <cell r="B276"/>
          <cell r="C276"/>
          <cell r="D276"/>
        </row>
        <row r="277">
          <cell r="B277"/>
          <cell r="C277"/>
          <cell r="D277"/>
        </row>
        <row r="278">
          <cell r="B278" t="str">
            <v>3   GAS</v>
          </cell>
          <cell r="C278"/>
          <cell r="D278"/>
        </row>
        <row r="280">
          <cell r="B280" t="str">
            <v>GAS</v>
          </cell>
          <cell r="C280"/>
          <cell r="D280" t="str">
            <v>Estado</v>
          </cell>
        </row>
        <row r="281">
          <cell r="B281" t="str">
            <v>Flexibles autorizados</v>
          </cell>
          <cell r="C281"/>
          <cell r="D281" t="str">
            <v>OK</v>
          </cell>
        </row>
        <row r="282">
          <cell r="B282" t="str">
            <v>Sistema de corte por pánico</v>
          </cell>
          <cell r="C282"/>
          <cell r="D282" t="str">
            <v>OK</v>
          </cell>
        </row>
        <row r="284">
          <cell r="B284"/>
        </row>
        <row r="285">
          <cell r="B285"/>
        </row>
        <row r="286">
          <cell r="B286"/>
        </row>
        <row r="287">
          <cell r="B287"/>
        </row>
        <row r="288">
          <cell r="B288"/>
        </row>
        <row r="289">
          <cell r="B289"/>
        </row>
        <row r="290">
          <cell r="B290"/>
        </row>
        <row r="291">
          <cell r="B291"/>
        </row>
        <row r="292">
          <cell r="B292"/>
        </row>
        <row r="293">
          <cell r="B293"/>
        </row>
        <row r="294">
          <cell r="B294"/>
        </row>
        <row r="295">
          <cell r="B295"/>
        </row>
        <row r="296">
          <cell r="B296"/>
        </row>
        <row r="297">
          <cell r="B297"/>
        </row>
        <row r="298">
          <cell r="B298"/>
        </row>
        <row r="299">
          <cell r="B299"/>
        </row>
        <row r="300">
          <cell r="B300"/>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XTG2P4GWXIZD2KEMWXQR7SYPT">
      <xxl21:absoluteUrl r:id="rId2"/>
    </xxl21:alternateUrls>
    <sheetNames>
      <sheetName val="Informe"/>
      <sheetName val="ROOFTOP"/>
      <sheetName val="SPLITS"/>
      <sheetName val="MINISPLITS"/>
    </sheetNames>
    <sheetDataSet>
      <sheetData sheetId="0">
        <row r="5">
          <cell r="B5" t="str">
            <v>SUCURSAL:</v>
          </cell>
          <cell r="C5" t="str">
            <v>DISCO 12</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D12_R_01</v>
          </cell>
          <cell r="C13">
            <v>2</v>
          </cell>
          <cell r="D13">
            <v>2</v>
          </cell>
        </row>
        <row r="14">
          <cell r="B14" t="str">
            <v>D12_R_02</v>
          </cell>
          <cell r="C14">
            <v>2</v>
          </cell>
          <cell r="D14">
            <v>2</v>
          </cell>
        </row>
        <row r="15">
          <cell r="B15" t="str">
            <v>D12_S_01</v>
          </cell>
          <cell r="C15">
            <v>2</v>
          </cell>
          <cell r="D15">
            <v>2</v>
          </cell>
        </row>
        <row r="16">
          <cell r="B16" t="str">
            <v>D12_S_02</v>
          </cell>
          <cell r="C16">
            <v>2</v>
          </cell>
          <cell r="D16">
            <v>2</v>
          </cell>
        </row>
        <row r="17">
          <cell r="B17" t="str">
            <v>D12_S_03</v>
          </cell>
          <cell r="C17">
            <v>2</v>
          </cell>
          <cell r="D17">
            <v>2</v>
          </cell>
        </row>
        <row r="18">
          <cell r="B18" t="str">
            <v>D12_S_07</v>
          </cell>
          <cell r="C18">
            <v>3</v>
          </cell>
          <cell r="D18">
            <v>3</v>
          </cell>
        </row>
        <row r="19">
          <cell r="B19"/>
          <cell r="C19"/>
        </row>
        <row r="20">
          <cell r="B20" t="str">
            <v>Comentarios:</v>
          </cell>
          <cell r="C20" t="str">
            <v>R_01/R_02</v>
          </cell>
          <cell r="D20" t="str">
            <v>Controlar avance de oxidación en parte inferior de gabinetes.</v>
          </cell>
        </row>
        <row r="21">
          <cell r="B21"/>
          <cell r="C21" t="str">
            <v>S_07</v>
          </cell>
          <cell r="D21" t="str">
            <v>Se agrega nueva unidad Hisense de 60.000 BTU/hr en salón.</v>
          </cell>
        </row>
        <row r="22">
          <cell r="B22"/>
          <cell r="C22" t="str">
            <v>S_03</v>
          </cell>
          <cell r="D22" t="str">
            <v>Aletas de direccionamiento de aire sucias. Limpiar.</v>
          </cell>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B100" t="str">
            <v>2   ELÉCTRICA</v>
          </cell>
          <cell r="C100"/>
          <cell r="D100"/>
        </row>
        <row r="102">
          <cell r="B102" t="str">
            <v>Código</v>
          </cell>
          <cell r="C102" t="str">
            <v>Estado</v>
          </cell>
          <cell r="D102" t="str">
            <v>Mantenimiento</v>
          </cell>
        </row>
        <row r="103">
          <cell r="B103" t="str">
            <v>Generador</v>
          </cell>
          <cell r="C103" t="str">
            <v>Generador</v>
          </cell>
          <cell r="D103" t="str">
            <v>Proveedor</v>
          </cell>
        </row>
        <row r="104">
          <cell r="B104" t="str">
            <v>D12_G_01</v>
          </cell>
          <cell r="C104">
            <v>2</v>
          </cell>
          <cell r="D104">
            <v>2</v>
          </cell>
        </row>
        <row r="106">
          <cell r="B106" t="str">
            <v>GENERADOR</v>
          </cell>
          <cell r="C106"/>
          <cell r="D106" t="str">
            <v>Estado</v>
          </cell>
        </row>
        <row r="107">
          <cell r="B107" t="str">
            <v>Tanque de Combustible</v>
          </cell>
          <cell r="C107"/>
          <cell r="D107">
            <v>0.85</v>
          </cell>
        </row>
        <row r="108">
          <cell r="B108" t="str">
            <v>Batería</v>
          </cell>
          <cell r="C108"/>
          <cell r="D108" t="str">
            <v>OK</v>
          </cell>
        </row>
        <row r="109">
          <cell r="B109" t="str">
            <v>Liquido refrigerante</v>
          </cell>
          <cell r="C109"/>
          <cell r="D109" t="str">
            <v>OK</v>
          </cell>
        </row>
        <row r="110">
          <cell r="B110" t="str">
            <v>Lubricante</v>
          </cell>
          <cell r="C110"/>
          <cell r="D110" t="str">
            <v>OK</v>
          </cell>
        </row>
        <row r="112">
          <cell r="B112" t="str">
            <v>Comentarios:</v>
          </cell>
          <cell r="C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B145" t="str">
            <v>SUBESTACIÓN</v>
          </cell>
          <cell r="C145"/>
          <cell r="D145" t="str">
            <v>Estado</v>
          </cell>
        </row>
        <row r="146">
          <cell r="B146" t="str">
            <v>Objetos extraños</v>
          </cell>
          <cell r="D146" t="str">
            <v>OK</v>
          </cell>
        </row>
        <row r="147">
          <cell r="B147" t="str">
            <v>Filtraciones de agua</v>
          </cell>
          <cell r="C147"/>
          <cell r="D147" t="str">
            <v>OK</v>
          </cell>
        </row>
        <row r="148">
          <cell r="B148" t="str">
            <v>Tableros eléctricos</v>
          </cell>
          <cell r="C148"/>
          <cell r="D148" t="str">
            <v>OK</v>
          </cell>
        </row>
        <row r="149">
          <cell r="B149" t="str">
            <v>Bancos de _x000D_condensadores</v>
          </cell>
          <cell r="C149"/>
          <cell r="D149" t="str">
            <v>OK</v>
          </cell>
        </row>
        <row r="150">
          <cell r="D150"/>
        </row>
        <row r="180">
          <cell r="B180" t="str">
            <v>UPS</v>
          </cell>
          <cell r="C180"/>
          <cell r="D180" t="str">
            <v>Estado</v>
          </cell>
        </row>
        <row r="181">
          <cell r="B181" t="str">
            <v>UPS en línea</v>
          </cell>
          <cell r="C181"/>
          <cell r="D181" t="str">
            <v>OK</v>
          </cell>
        </row>
        <row r="182">
          <cell r="B182" t="str">
            <v>Aire acondicionado dedicado</v>
          </cell>
          <cell r="C182"/>
          <cell r="D182" t="str">
            <v>OK</v>
          </cell>
        </row>
        <row r="183">
          <cell r="B183" t="str">
            <v>Estado de carga de baterías</v>
          </cell>
          <cell r="C183"/>
          <cell r="D183" t="str">
            <v>OK</v>
          </cell>
        </row>
        <row r="184">
          <cell r="C184"/>
          <cell r="D184"/>
        </row>
        <row r="185">
          <cell r="B185" t="str">
            <v>Comentarios:</v>
          </cell>
          <cell r="C185" t="str">
            <v>Retirar cajón sobre equipos.</v>
          </cell>
          <cell r="D185"/>
        </row>
        <row r="186">
          <cell r="B186"/>
          <cell r="D186"/>
        </row>
        <row r="187">
          <cell r="B187"/>
          <cell r="D187"/>
        </row>
        <row r="188">
          <cell r="B188"/>
        </row>
        <row r="189">
          <cell r="B189"/>
        </row>
        <row r="190">
          <cell r="B190"/>
        </row>
        <row r="193">
          <cell r="B193"/>
          <cell r="C193"/>
          <cell r="D193"/>
        </row>
        <row r="194">
          <cell r="B194"/>
          <cell r="C194"/>
          <cell r="D194"/>
        </row>
        <row r="195">
          <cell r="B195"/>
          <cell r="C195"/>
          <cell r="D195"/>
        </row>
        <row r="196">
          <cell r="B196"/>
          <cell r="C196"/>
          <cell r="D196"/>
        </row>
        <row r="197">
          <cell r="B197"/>
          <cell r="C197"/>
          <cell r="D197"/>
        </row>
        <row r="198">
          <cell r="B198"/>
          <cell r="C198"/>
          <cell r="D198"/>
        </row>
        <row r="199">
          <cell r="B199"/>
          <cell r="C199"/>
          <cell r="D199"/>
        </row>
        <row r="200">
          <cell r="B200"/>
          <cell r="C200"/>
          <cell r="D200"/>
        </row>
        <row r="201">
          <cell r="B201"/>
          <cell r="C201"/>
          <cell r="D201"/>
        </row>
        <row r="202">
          <cell r="B202"/>
          <cell r="C202"/>
          <cell r="D202"/>
        </row>
        <row r="203">
          <cell r="B203"/>
          <cell r="C203"/>
          <cell r="D203"/>
        </row>
        <row r="204">
          <cell r="B204"/>
          <cell r="C204"/>
          <cell r="D204"/>
        </row>
        <row r="205">
          <cell r="B205"/>
          <cell r="C205"/>
          <cell r="D205"/>
        </row>
        <row r="206">
          <cell r="B206"/>
          <cell r="C206"/>
          <cell r="D206"/>
        </row>
        <row r="207">
          <cell r="B207"/>
          <cell r="C207"/>
          <cell r="D207"/>
        </row>
        <row r="208">
          <cell r="B208"/>
          <cell r="C208"/>
          <cell r="D208"/>
        </row>
        <row r="214">
          <cell r="B214" t="str">
            <v>3   GAS</v>
          </cell>
          <cell r="C214"/>
          <cell r="D214"/>
        </row>
        <row r="216">
          <cell r="B216" t="str">
            <v>GAS</v>
          </cell>
          <cell r="C216"/>
          <cell r="D216" t="str">
            <v>Estado</v>
          </cell>
        </row>
        <row r="217">
          <cell r="B217" t="str">
            <v>Flexibles autorizados</v>
          </cell>
          <cell r="C217"/>
          <cell r="D217" t="str">
            <v>OK</v>
          </cell>
        </row>
        <row r="218">
          <cell r="B218" t="str">
            <v>Sistema de corte por pánico</v>
          </cell>
          <cell r="C218"/>
          <cell r="D218" t="str">
            <v>OK</v>
          </cell>
        </row>
        <row r="220">
          <cell r="B220" t="str">
            <v>Comentarios:</v>
          </cell>
          <cell r="C220" t="str">
            <v>Proteger bombonas de gas en estacionamiento de motos.</v>
          </cell>
          <cell r="D220"/>
        </row>
        <row r="221">
          <cell r="B221"/>
          <cell r="C221" t="str">
            <v>Realizar nicho de proteccion para garrafas de 13kg.</v>
          </cell>
          <cell r="D221"/>
        </row>
        <row r="222">
          <cell r="B222" t="str">
            <v>Proteger tubería de acometida de gas a local desde bombonas.</v>
          </cell>
          <cell r="C222"/>
          <cell r="D222"/>
        </row>
        <row r="223">
          <cell r="B223" t="str">
            <v>Colocar protección para acometida de gas en pasillo sobre puerta a generador.</v>
          </cell>
          <cell r="C223"/>
          <cell r="D223"/>
        </row>
        <row r="224">
          <cell r="B224" t="str">
            <v>Botón de corte por pánico de gas en rotisería sin cartelería. Colocar.</v>
          </cell>
          <cell r="C224"/>
          <cell r="D224"/>
        </row>
        <row r="225">
          <cell r="B225"/>
          <cell r="C225"/>
          <cell r="D225"/>
        </row>
        <row r="226">
          <cell r="B226"/>
          <cell r="C226"/>
          <cell r="D226"/>
        </row>
        <row r="227">
          <cell r="B227"/>
          <cell r="C227"/>
          <cell r="D227"/>
        </row>
        <row r="228">
          <cell r="B228"/>
          <cell r="C228"/>
          <cell r="D228"/>
        </row>
        <row r="229">
          <cell r="B229"/>
          <cell r="C229"/>
          <cell r="D229"/>
        </row>
        <row r="230">
          <cell r="B230"/>
          <cell r="C230"/>
          <cell r="D230"/>
        </row>
        <row r="231">
          <cell r="B231"/>
          <cell r="C231"/>
          <cell r="D231"/>
        </row>
        <row r="232">
          <cell r="B232"/>
          <cell r="C232"/>
          <cell r="D232"/>
        </row>
        <row r="233">
          <cell r="B233"/>
          <cell r="C233"/>
          <cell r="D233"/>
        </row>
        <row r="234">
          <cell r="B234"/>
          <cell r="C234"/>
          <cell r="D234"/>
        </row>
        <row r="235">
          <cell r="B235"/>
          <cell r="C235"/>
          <cell r="D235"/>
        </row>
        <row r="236">
          <cell r="B236"/>
          <cell r="C236"/>
          <cell r="D236"/>
        </row>
        <row r="237">
          <cell r="B237"/>
          <cell r="C237"/>
          <cell r="D237"/>
        </row>
        <row r="238">
          <cell r="B238"/>
          <cell r="C238"/>
          <cell r="D238"/>
        </row>
        <row r="239">
          <cell r="B239"/>
          <cell r="C239"/>
          <cell r="D239"/>
        </row>
        <row r="240">
          <cell r="B240"/>
          <cell r="C240"/>
          <cell r="D240"/>
        </row>
        <row r="241">
          <cell r="B241"/>
          <cell r="C241"/>
          <cell r="D241"/>
        </row>
        <row r="242">
          <cell r="B242"/>
          <cell r="C242"/>
          <cell r="D242"/>
        </row>
        <row r="243">
          <cell r="B243"/>
          <cell r="C243"/>
          <cell r="D243"/>
        </row>
        <row r="244">
          <cell r="B244"/>
          <cell r="C244"/>
          <cell r="D244"/>
        </row>
        <row r="245">
          <cell r="B245"/>
          <cell r="C245"/>
          <cell r="D245"/>
        </row>
        <row r="246">
          <cell r="B246"/>
          <cell r="C246"/>
          <cell r="D246"/>
        </row>
        <row r="247">
          <cell r="B247"/>
          <cell r="C247"/>
          <cell r="D247"/>
        </row>
        <row r="248">
          <cell r="B248"/>
          <cell r="C248"/>
          <cell r="D248"/>
        </row>
        <row r="249">
          <cell r="B249"/>
          <cell r="C249"/>
          <cell r="D249"/>
        </row>
        <row r="250">
          <cell r="B250"/>
          <cell r="C250"/>
          <cell r="D250"/>
        </row>
        <row r="251">
          <cell r="B251"/>
          <cell r="C251"/>
          <cell r="D251"/>
        </row>
        <row r="252">
          <cell r="B252"/>
          <cell r="C252"/>
          <cell r="D252"/>
        </row>
        <row r="253">
          <cell r="B253"/>
          <cell r="C253"/>
          <cell r="D253"/>
        </row>
        <row r="254">
          <cell r="B254"/>
          <cell r="C254"/>
          <cell r="D254"/>
        </row>
        <row r="255">
          <cell r="B255"/>
          <cell r="C255"/>
          <cell r="D255"/>
        </row>
        <row r="256">
          <cell r="B256"/>
          <cell r="C256"/>
          <cell r="D256"/>
        </row>
        <row r="258">
          <cell r="B258" t="str">
            <v>4   OBSERVACIONES GENERALES</v>
          </cell>
          <cell r="C258"/>
          <cell r="D258"/>
        </row>
        <row r="260">
          <cell r="B260" t="str">
            <v>Comentarios:</v>
          </cell>
          <cell r="C260" t="str">
            <v>Hierros a la vista en losa de tanques de agua.</v>
          </cell>
          <cell r="D260"/>
        </row>
        <row r="270">
          <cell r="B270"/>
        </row>
      </sheetData>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7VDH5BTTHQVBKS7HRHXQJOSDB">
      <xxl21:absoluteUrl r:id="rId2"/>
    </xxl21:alternateUrls>
    <sheetNames>
      <sheetName val="Informe"/>
      <sheetName val="ROOFTOP"/>
      <sheetName val="SPLITS"/>
      <sheetName val="MINISPLITS"/>
    </sheetNames>
    <sheetDataSet>
      <sheetData sheetId="0">
        <row r="4">
          <cell r="B4" t="str">
            <v>SUCURSAL:</v>
          </cell>
          <cell r="C4" t="str">
            <v>DISCO 13</v>
          </cell>
        </row>
        <row r="6">
          <cell r="B6" t="str">
            <v>1   AIRE ACONDICIONADO</v>
          </cell>
          <cell r="C6"/>
          <cell r="D6"/>
        </row>
        <row r="8">
          <cell r="B8" t="str">
            <v>CD/CI_x000D_
Sucursal</v>
          </cell>
          <cell r="C8">
            <v>0.66666666666666663</v>
          </cell>
        </row>
        <row r="10">
          <cell r="B10" t="str">
            <v>Código</v>
          </cell>
          <cell r="C10"/>
          <cell r="D10" t="str">
            <v>Estado del equipo</v>
          </cell>
        </row>
        <row r="11">
          <cell r="B11" t="str">
            <v>Equipo</v>
          </cell>
          <cell r="C11" t="str">
            <v>Intercambiadores</v>
          </cell>
          <cell r="D11" t="str">
            <v>Gabinete</v>
          </cell>
        </row>
        <row r="12">
          <cell r="B12" t="str">
            <v>D13_R_01</v>
          </cell>
          <cell r="C12">
            <v>2</v>
          </cell>
          <cell r="D12">
            <v>2</v>
          </cell>
        </row>
        <row r="13">
          <cell r="B13" t="str">
            <v>D13_R_02</v>
          </cell>
          <cell r="C13">
            <v>2</v>
          </cell>
          <cell r="D13">
            <v>2</v>
          </cell>
        </row>
        <row r="14">
          <cell r="B14" t="str">
            <v>D13_R_03</v>
          </cell>
          <cell r="C14">
            <v>2</v>
          </cell>
          <cell r="D14">
            <v>2</v>
          </cell>
        </row>
        <row r="15">
          <cell r="D15"/>
        </row>
        <row r="16">
          <cell r="B16" t="str">
            <v>Comentarios:</v>
          </cell>
          <cell r="C16" t="str">
            <v>Rejillas de extracción en salón muy sucias. Limpiar.</v>
          </cell>
          <cell r="D16"/>
        </row>
        <row r="17">
          <cell r="B17" t="str">
            <v>R_02/R_03</v>
          </cell>
          <cell r="C17" t="str">
            <v>Equipos con un ventilador faltante</v>
          </cell>
          <cell r="D17"/>
        </row>
        <row r="18">
          <cell r="B18" t="str">
            <v>R_01/02/03</v>
          </cell>
          <cell r="C18" t="str">
            <v>Puertas de los equipos en mal estado. Dificulta el correcto cierre de las mismas.</v>
          </cell>
          <cell r="D18"/>
        </row>
        <row r="19">
          <cell r="B19"/>
        </row>
        <row r="20">
          <cell r="B20"/>
        </row>
        <row r="21">
          <cell r="B21"/>
        </row>
        <row r="22">
          <cell r="B22"/>
        </row>
        <row r="23">
          <cell r="B23"/>
        </row>
        <row r="24">
          <cell r="B24"/>
        </row>
        <row r="25">
          <cell r="B25"/>
          <cell r="D25"/>
        </row>
        <row r="65">
          <cell r="B65" t="str">
            <v>2   ELÉCTRICA</v>
          </cell>
          <cell r="C65"/>
          <cell r="D65"/>
        </row>
        <row r="67">
          <cell r="B67" t="str">
            <v>Código</v>
          </cell>
          <cell r="C67" t="str">
            <v>Estado</v>
          </cell>
          <cell r="D67" t="str">
            <v>Mantenimiento</v>
          </cell>
        </row>
        <row r="68">
          <cell r="B68" t="str">
            <v>Generador</v>
          </cell>
          <cell r="C68" t="str">
            <v>Generador</v>
          </cell>
          <cell r="D68" t="str">
            <v>Proveedor</v>
          </cell>
        </row>
        <row r="69">
          <cell r="B69" t="str">
            <v>D13_G_01</v>
          </cell>
          <cell r="C69">
            <v>2</v>
          </cell>
          <cell r="D69">
            <v>3</v>
          </cell>
        </row>
        <row r="70">
          <cell r="B70"/>
          <cell r="C70"/>
        </row>
        <row r="71">
          <cell r="B71" t="str">
            <v>GENERADOR</v>
          </cell>
          <cell r="C71"/>
          <cell r="D71" t="str">
            <v>Estado</v>
          </cell>
        </row>
        <row r="72">
          <cell r="B72" t="str">
            <v>Tanque de Combustible</v>
          </cell>
          <cell r="C72"/>
          <cell r="D72">
            <v>0.6</v>
          </cell>
        </row>
        <row r="73">
          <cell r="B73" t="str">
            <v>Batería</v>
          </cell>
          <cell r="C73"/>
          <cell r="D73" t="str">
            <v>OK</v>
          </cell>
        </row>
        <row r="74">
          <cell r="B74" t="str">
            <v>Líquido refrigerante</v>
          </cell>
          <cell r="C74"/>
          <cell r="D74" t="str">
            <v>OK</v>
          </cell>
        </row>
        <row r="75">
          <cell r="B75" t="str">
            <v>Lubricante</v>
          </cell>
          <cell r="C75"/>
          <cell r="D75" t="str">
            <v>OK</v>
          </cell>
        </row>
        <row r="111">
          <cell r="B111" t="str">
            <v>SUBESTACIÓN</v>
          </cell>
          <cell r="C111"/>
          <cell r="D111" t="str">
            <v>Estado</v>
          </cell>
        </row>
        <row r="112">
          <cell r="B112" t="str">
            <v>Objetos extraños</v>
          </cell>
          <cell r="C112"/>
          <cell r="D112" t="str">
            <v>OK</v>
          </cell>
        </row>
        <row r="113">
          <cell r="B113" t="str">
            <v>Filtraciones de agua</v>
          </cell>
          <cell r="C113"/>
          <cell r="D113" t="str">
            <v>OK</v>
          </cell>
        </row>
        <row r="114">
          <cell r="B114" t="str">
            <v>Tableros eléctricos</v>
          </cell>
          <cell r="C114"/>
          <cell r="D114" t="str">
            <v>OK</v>
          </cell>
        </row>
        <row r="115">
          <cell r="B115" t="str">
            <v>Bancos de _x000D_condensadores</v>
          </cell>
          <cell r="C115"/>
          <cell r="D115" t="str">
            <v>OK</v>
          </cell>
        </row>
        <row r="116">
          <cell r="D116"/>
        </row>
        <row r="158">
          <cell r="B158" t="str">
            <v>UPS</v>
          </cell>
          <cell r="C158"/>
          <cell r="D158" t="str">
            <v>Estado</v>
          </cell>
        </row>
        <row r="159">
          <cell r="B159" t="str">
            <v>UPS en línea</v>
          </cell>
          <cell r="C159"/>
          <cell r="D159" t="str">
            <v>OK</v>
          </cell>
        </row>
        <row r="160">
          <cell r="B160" t="str">
            <v>Aire acondicionado dedicado</v>
          </cell>
          <cell r="C160"/>
          <cell r="D160" t="str">
            <v>OK</v>
          </cell>
        </row>
        <row r="161">
          <cell r="B161" t="str">
            <v>Estado de carga de baterías</v>
          </cell>
          <cell r="C161"/>
          <cell r="D161" t="str">
            <v>OK</v>
          </cell>
        </row>
        <row r="162">
          <cell r="C162"/>
          <cell r="D162"/>
        </row>
        <row r="163">
          <cell r="B163" t="str">
            <v>Comentarios:</v>
          </cell>
          <cell r="C163" t="str">
            <v>Retirar materiales acopiados contra los equipos.</v>
          </cell>
          <cell r="D163"/>
        </row>
        <row r="164">
          <cell r="B164"/>
          <cell r="C164"/>
        </row>
        <row r="165">
          <cell r="B165"/>
          <cell r="C165"/>
        </row>
        <row r="166">
          <cell r="B166"/>
          <cell r="C166"/>
        </row>
        <row r="167">
          <cell r="B167"/>
          <cell r="C167"/>
        </row>
        <row r="168">
          <cell r="B168"/>
          <cell r="C168"/>
        </row>
        <row r="169">
          <cell r="B169"/>
          <cell r="C169"/>
        </row>
        <row r="170">
          <cell r="B170"/>
          <cell r="C170"/>
        </row>
        <row r="183">
          <cell r="B183" t="str">
            <v>3   GAS</v>
          </cell>
          <cell r="C183"/>
          <cell r="D183"/>
        </row>
        <row r="185">
          <cell r="B185" t="str">
            <v>GAS</v>
          </cell>
          <cell r="C185"/>
          <cell r="D185" t="str">
            <v>Estado</v>
          </cell>
        </row>
        <row r="186">
          <cell r="B186" t="str">
            <v>Flexibles autorizados</v>
          </cell>
          <cell r="C186"/>
          <cell r="D186" t="str">
            <v>OK</v>
          </cell>
        </row>
        <row r="187">
          <cell r="B187" t="str">
            <v>Sistema de corte por pánico</v>
          </cell>
          <cell r="C187"/>
          <cell r="D187" t="str">
            <v>OK</v>
          </cell>
        </row>
        <row r="188">
          <cell r="C188"/>
          <cell r="D188"/>
        </row>
        <row r="189">
          <cell r="B189" t="str">
            <v>Comentarios:</v>
          </cell>
          <cell r="C189" t="str">
            <v>Realizar nicho para garrafas acopiadas en pasillo.</v>
          </cell>
          <cell r="D189"/>
        </row>
        <row r="250">
          <cell r="B250" t="str">
            <v>4   OBSERVACIONES GENERALES</v>
          </cell>
          <cell r="C250"/>
          <cell r="D250"/>
        </row>
        <row r="252">
          <cell r="B252" t="str">
            <v>Comentarios:</v>
          </cell>
          <cell r="C252" t="str">
            <v>Reboques inferiores de canalón en patio trasero caídos y con hierros a la vista.</v>
          </cell>
          <cell r="D252"/>
        </row>
      </sheetData>
      <sheetData sheetId="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43UMTE5KNMFAYLD3EXJHFNLHR">
      <xxl21:absoluteUrl r:id="rId2"/>
    </xxl21:alternateUrls>
    <sheetNames>
      <sheetName val="Informe"/>
      <sheetName val="ROOFTOP"/>
      <sheetName val="MINISPLITS"/>
    </sheetNames>
    <sheetDataSet>
      <sheetData sheetId="0">
        <row r="3">
          <cell r="B3" t="str">
            <v>SUCURSAL:</v>
          </cell>
          <cell r="C3" t="str">
            <v>DISCO 14</v>
          </cell>
        </row>
        <row r="5">
          <cell r="B5" t="str">
            <v>1   AIRE ACONDICIONADO</v>
          </cell>
          <cell r="C5"/>
          <cell r="D5"/>
        </row>
        <row r="7">
          <cell r="B7" t="str">
            <v>CD/CI Sucursal</v>
          </cell>
          <cell r="C7">
            <v>1</v>
          </cell>
        </row>
        <row r="9">
          <cell r="B9" t="str">
            <v>Código</v>
          </cell>
          <cell r="C9"/>
          <cell r="D9" t="str">
            <v>Estado del equipo</v>
          </cell>
        </row>
        <row r="10">
          <cell r="B10" t="str">
            <v>Equipo</v>
          </cell>
          <cell r="C10" t="str">
            <v>Intercambiadores</v>
          </cell>
          <cell r="D10" t="str">
            <v>Gabinete</v>
          </cell>
        </row>
        <row r="11">
          <cell r="B11" t="str">
            <v>D14_R_01</v>
          </cell>
          <cell r="C11">
            <v>3</v>
          </cell>
          <cell r="D11">
            <v>3</v>
          </cell>
        </row>
        <row r="12">
          <cell r="B12" t="str">
            <v>D14_R_02</v>
          </cell>
          <cell r="C12">
            <v>3</v>
          </cell>
          <cell r="D12">
            <v>3</v>
          </cell>
        </row>
        <row r="13">
          <cell r="B13" t="str">
            <v>D14_R_03</v>
          </cell>
          <cell r="C13">
            <v>3</v>
          </cell>
          <cell r="D13">
            <v>3</v>
          </cell>
        </row>
        <row r="14">
          <cell r="B14" t="str">
            <v>D14_R_04</v>
          </cell>
          <cell r="C14">
            <v>2</v>
          </cell>
          <cell r="D14">
            <v>3</v>
          </cell>
        </row>
        <row r="15">
          <cell r="B15" t="str">
            <v>D14_R_05</v>
          </cell>
          <cell r="C15">
            <v>1</v>
          </cell>
          <cell r="D15">
            <v>3</v>
          </cell>
        </row>
        <row r="16">
          <cell r="B16" t="str">
            <v>D14_R_06</v>
          </cell>
          <cell r="C16">
            <v>2</v>
          </cell>
          <cell r="D16">
            <v>3</v>
          </cell>
        </row>
        <row r="17">
          <cell r="D17"/>
        </row>
        <row r="18">
          <cell r="B18" t="str">
            <v xml:space="preserve">Comentarios:     </v>
          </cell>
          <cell r="C18" t="str">
            <v>R_05</v>
          </cell>
          <cell r="D18" t="str">
            <v>Intercambiador exterior muy desgastados. Ductos a la vista.</v>
          </cell>
        </row>
        <row r="19">
          <cell r="B19"/>
          <cell r="C19" t="str">
            <v>R_05/06</v>
          </cell>
          <cell r="D19" t="str">
            <v>Agua de condensación cae sobre techo.</v>
          </cell>
        </row>
        <row r="20">
          <cell r="B20" t="str">
            <v>R_02</v>
          </cell>
          <cell r="C20" t="str">
            <v>Desagúe zafado. Reparar.</v>
          </cell>
          <cell r="D20"/>
        </row>
        <row r="21">
          <cell r="B21" t="str">
            <v>R_01 a R_06</v>
          </cell>
          <cell r="C21" t="str">
            <v>Rejillas de extracción de aire en salón muy sucias. Limpiar.</v>
          </cell>
          <cell r="D21"/>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B124" t="str">
            <v>2   ELÉCTRICA</v>
          </cell>
          <cell r="C124"/>
          <cell r="D124"/>
        </row>
        <row r="126">
          <cell r="B126" t="str">
            <v>Código</v>
          </cell>
          <cell r="C126" t="str">
            <v>Estado</v>
          </cell>
          <cell r="D126" t="str">
            <v>Mantenimiento</v>
          </cell>
        </row>
        <row r="127">
          <cell r="B127" t="str">
            <v>Generador</v>
          </cell>
          <cell r="C127" t="str">
            <v>Generador</v>
          </cell>
          <cell r="D127" t="str">
            <v>Proveedor</v>
          </cell>
        </row>
        <row r="128">
          <cell r="B128" t="str">
            <v>D14_G_01</v>
          </cell>
          <cell r="C128">
            <v>2</v>
          </cell>
          <cell r="D128">
            <v>2</v>
          </cell>
        </row>
        <row r="129">
          <cell r="B129"/>
          <cell r="C129"/>
        </row>
        <row r="130">
          <cell r="B130" t="str">
            <v>GENERADOR</v>
          </cell>
          <cell r="C130"/>
          <cell r="D130" t="str">
            <v>Estado</v>
          </cell>
        </row>
        <row r="131">
          <cell r="B131" t="str">
            <v>Tanque de Combustible</v>
          </cell>
          <cell r="C131"/>
          <cell r="D131">
            <v>0.6</v>
          </cell>
        </row>
        <row r="132">
          <cell r="B132" t="str">
            <v>Batería</v>
          </cell>
          <cell r="C132"/>
          <cell r="D132" t="str">
            <v>OK</v>
          </cell>
        </row>
        <row r="133">
          <cell r="B133" t="str">
            <v>Liquido refrigerante</v>
          </cell>
          <cell r="C133"/>
          <cell r="D133" t="str">
            <v>OK</v>
          </cell>
        </row>
        <row r="134">
          <cell r="B134" t="str">
            <v>Lubricante</v>
          </cell>
          <cell r="C134"/>
          <cell r="D134" t="str">
            <v>OK</v>
          </cell>
        </row>
        <row r="135">
          <cell r="D135"/>
        </row>
        <row r="136">
          <cell r="B136" t="str">
            <v xml:space="preserve">Comentarios:     </v>
          </cell>
          <cell r="C136" t="str">
            <v>Mangón a radiador cuarteado. Controlar.</v>
          </cell>
          <cell r="D136"/>
        </row>
        <row r="137">
          <cell r="B137"/>
        </row>
        <row r="138">
          <cell r="B138"/>
        </row>
        <row r="139">
          <cell r="B139"/>
        </row>
        <row r="140">
          <cell r="B140"/>
        </row>
        <row r="141">
          <cell r="B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B168" t="str">
            <v>SUBESTACIÓN</v>
          </cell>
          <cell r="C168"/>
          <cell r="D168" t="str">
            <v>Estado</v>
          </cell>
        </row>
        <row r="169">
          <cell r="B169" t="str">
            <v>Objetos extraños</v>
          </cell>
          <cell r="C169"/>
          <cell r="D169" t="str">
            <v>OK</v>
          </cell>
        </row>
        <row r="170">
          <cell r="B170" t="str">
            <v>Filtraciones de agua</v>
          </cell>
          <cell r="C170"/>
          <cell r="D170" t="str">
            <v>OK</v>
          </cell>
        </row>
        <row r="171">
          <cell r="B171" t="str">
            <v>Tableros eléctricos</v>
          </cell>
          <cell r="C171"/>
          <cell r="D171" t="str">
            <v>OK</v>
          </cell>
        </row>
        <row r="172">
          <cell r="B172" t="str">
            <v>Bancos de 
condensadores</v>
          </cell>
          <cell r="C172"/>
          <cell r="D172" t="str">
            <v>OK</v>
          </cell>
        </row>
        <row r="173">
          <cell r="D173"/>
        </row>
        <row r="174">
          <cell r="B174" t="str">
            <v xml:space="preserve">Comentarios:     </v>
          </cell>
          <cell r="C174" t="str">
            <v>Reinstalar frente muerto retirado de gabinete.</v>
          </cell>
          <cell r="D174"/>
        </row>
        <row r="175">
          <cell r="B175"/>
          <cell r="C175" t="str">
            <v>Interruptor ABB acometida superior izquierda a 43°C. Verificar.</v>
          </cell>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B218" t="str">
            <v>UPS</v>
          </cell>
          <cell r="C218"/>
          <cell r="D218" t="str">
            <v>Estado</v>
          </cell>
        </row>
        <row r="219">
          <cell r="B219" t="str">
            <v>UPS en linea</v>
          </cell>
          <cell r="C219"/>
          <cell r="D219" t="str">
            <v>OK</v>
          </cell>
        </row>
        <row r="220">
          <cell r="B220" t="str">
            <v>Aire acondicionado dedicado</v>
          </cell>
          <cell r="C220"/>
          <cell r="D220" t="str">
            <v>OK</v>
          </cell>
        </row>
        <row r="221">
          <cell r="B221" t="str">
            <v>Estado de carga de baterías</v>
          </cell>
          <cell r="C221"/>
          <cell r="D221" t="str">
            <v>OK</v>
          </cell>
        </row>
        <row r="222">
          <cell r="B222"/>
          <cell r="C222"/>
        </row>
        <row r="235">
          <cell r="B235" t="str">
            <v>3   GAS</v>
          </cell>
          <cell r="C235"/>
          <cell r="D235"/>
        </row>
        <row r="237">
          <cell r="B237" t="str">
            <v>GAS</v>
          </cell>
          <cell r="C237"/>
          <cell r="D237" t="str">
            <v>Estado</v>
          </cell>
        </row>
        <row r="238">
          <cell r="B238" t="str">
            <v>Flexibles autorizados</v>
          </cell>
          <cell r="C238"/>
          <cell r="D238" t="str">
            <v>OK</v>
          </cell>
        </row>
        <row r="239">
          <cell r="B239" t="str">
            <v>Sistema de corte por pánico</v>
          </cell>
          <cell r="C239"/>
          <cell r="D239" t="str">
            <v>NO OK</v>
          </cell>
        </row>
        <row r="240">
          <cell r="B240"/>
        </row>
        <row r="241">
          <cell r="B241" t="str">
            <v xml:space="preserve">Comentarios:     </v>
          </cell>
          <cell r="C241" t="str">
            <v>Tramo de tubería de gas en rorisería sin pintar.</v>
          </cell>
          <cell r="D241"/>
        </row>
        <row r="242">
          <cell r="B242"/>
          <cell r="C242" t="str">
            <v>Botón de corte por pánico de gas en rotisería sin cartelería.</v>
          </cell>
          <cell r="D242"/>
        </row>
        <row r="243">
          <cell r="B243"/>
          <cell r="C243" t="str">
            <v>Acometida principal de gas desde bombonas a local pintado de gris. Pintar de amarillo.</v>
          </cell>
          <cell r="D243"/>
        </row>
        <row r="244">
          <cell r="B244"/>
        </row>
        <row r="245">
          <cell r="B245"/>
        </row>
        <row r="246">
          <cell r="B246"/>
        </row>
        <row r="247">
          <cell r="B247"/>
        </row>
        <row r="248">
          <cell r="B248"/>
        </row>
        <row r="249">
          <cell r="B249"/>
        </row>
        <row r="250">
          <cell r="B250"/>
        </row>
        <row r="251">
          <cell r="B251"/>
        </row>
        <row r="252">
          <cell r="B252"/>
        </row>
        <row r="253">
          <cell r="B253"/>
        </row>
        <row r="254">
          <cell r="B254"/>
        </row>
        <row r="255">
          <cell r="B255"/>
        </row>
        <row r="256">
          <cell r="B256"/>
        </row>
        <row r="257">
          <cell r="B257"/>
        </row>
        <row r="258">
          <cell r="B258"/>
        </row>
        <row r="259">
          <cell r="B259"/>
        </row>
        <row r="260">
          <cell r="B260"/>
        </row>
        <row r="261">
          <cell r="B261"/>
        </row>
        <row r="262">
          <cell r="B262"/>
        </row>
        <row r="263">
          <cell r="B263"/>
        </row>
        <row r="264">
          <cell r="B264"/>
        </row>
        <row r="265">
          <cell r="B265" t="str">
            <v>4   OBSERVACIONES GENERALES</v>
          </cell>
          <cell r="C265"/>
          <cell r="D265"/>
        </row>
        <row r="266">
          <cell r="B266"/>
        </row>
        <row r="267">
          <cell r="B267" t="str">
            <v xml:space="preserve">Comentarios:     </v>
          </cell>
          <cell r="C267" t="str">
            <v>Losa de piso de tanques de agua con hormigón saltado y hierros a la vista.</v>
          </cell>
          <cell r="D267"/>
        </row>
        <row r="268">
          <cell r="B268"/>
        </row>
        <row r="269">
          <cell r="B269"/>
        </row>
        <row r="270">
          <cell r="B270"/>
        </row>
        <row r="271">
          <cell r="B271"/>
        </row>
        <row r="272">
          <cell r="B272"/>
        </row>
        <row r="273">
          <cell r="B273"/>
        </row>
        <row r="274">
          <cell r="B274"/>
        </row>
        <row r="275">
          <cell r="B275"/>
        </row>
        <row r="276">
          <cell r="B276"/>
        </row>
        <row r="277">
          <cell r="B277"/>
        </row>
        <row r="278">
          <cell r="B278"/>
        </row>
        <row r="279">
          <cell r="B279"/>
        </row>
        <row r="280">
          <cell r="B280"/>
        </row>
      </sheetData>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4677H2EFCPZB25JQ7K26E4JVK">
      <xxl21:absoluteUrl r:id="rId2"/>
    </xxl21:alternateUrls>
    <sheetNames>
      <sheetName val="Informe"/>
    </sheetNames>
    <sheetDataSet>
      <sheetData sheetId="0">
        <row r="5">
          <cell r="B5" t="str">
            <v>SUCURSAL:</v>
          </cell>
          <cell r="C5" t="str">
            <v>DISCO 15</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D15_S_01</v>
          </cell>
          <cell r="C13">
            <v>1</v>
          </cell>
          <cell r="D13">
            <v>1.5</v>
          </cell>
        </row>
        <row r="14">
          <cell r="B14" t="str">
            <v>D15_S_02</v>
          </cell>
          <cell r="C14">
            <v>1</v>
          </cell>
          <cell r="D14">
            <v>1.5</v>
          </cell>
        </row>
        <row r="15">
          <cell r="B15" t="str">
            <v>D15_S_06</v>
          </cell>
          <cell r="C15">
            <v>3</v>
          </cell>
          <cell r="D15">
            <v>3</v>
          </cell>
        </row>
        <row r="16">
          <cell r="B16" t="str">
            <v>D15_S_07</v>
          </cell>
          <cell r="C16">
            <v>3</v>
          </cell>
          <cell r="D16">
            <v>3</v>
          </cell>
        </row>
        <row r="17">
          <cell r="D17"/>
        </row>
        <row r="18">
          <cell r="B18" t="str">
            <v>Comentarios:</v>
          </cell>
          <cell r="C18" t="str">
            <v>S_06/S_07</v>
          </cell>
          <cell r="D18" t="str">
            <v>Intercambiadores exteriores sucios. Limpiar.</v>
          </cell>
        </row>
        <row r="19">
          <cell r="B19"/>
          <cell r="C19" t="str">
            <v>S_01/S_02</v>
          </cell>
          <cell r="D19" t="str">
            <v>Aletas de direccionamiento de aire muy sucias. Limpiar.</v>
          </cell>
        </row>
        <row r="20">
          <cell r="B20"/>
          <cell r="C20" t="str">
            <v>S_01/S_02</v>
          </cell>
          <cell r="D20" t="str">
            <v>Intercambiadores exteriores muy sucios. Limpiar.</v>
          </cell>
        </row>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cell r="C46"/>
        </row>
        <row r="47">
          <cell r="C47"/>
        </row>
        <row r="48">
          <cell r="B48"/>
          <cell r="C48"/>
        </row>
        <row r="49">
          <cell r="B49"/>
          <cell r="C49"/>
        </row>
        <row r="50">
          <cell r="B50"/>
          <cell r="C50"/>
        </row>
        <row r="51">
          <cell r="B51"/>
          <cell r="C51"/>
        </row>
        <row r="52">
          <cell r="B52"/>
          <cell r="C52"/>
        </row>
        <row r="53">
          <cell r="B53"/>
          <cell r="C53"/>
        </row>
        <row r="54">
          <cell r="B54"/>
          <cell r="C54"/>
        </row>
        <row r="55">
          <cell r="B55"/>
          <cell r="C55"/>
        </row>
        <row r="56">
          <cell r="B56"/>
          <cell r="C56"/>
        </row>
        <row r="57">
          <cell r="B57"/>
          <cell r="C57"/>
        </row>
        <row r="58">
          <cell r="B58"/>
          <cell r="C58"/>
        </row>
        <row r="59">
          <cell r="B59"/>
          <cell r="C59"/>
        </row>
        <row r="60">
          <cell r="B60"/>
          <cell r="C60"/>
        </row>
        <row r="61">
          <cell r="B61"/>
          <cell r="C61"/>
        </row>
        <row r="62">
          <cell r="B62"/>
          <cell r="C62"/>
        </row>
        <row r="63">
          <cell r="B63"/>
          <cell r="C63"/>
        </row>
        <row r="64">
          <cell r="B64"/>
          <cell r="C64"/>
        </row>
        <row r="65">
          <cell r="B65"/>
          <cell r="C65"/>
        </row>
        <row r="66">
          <cell r="B66"/>
          <cell r="C66"/>
        </row>
        <row r="67">
          <cell r="B67" t="str">
            <v>2   ELÉCTRICA</v>
          </cell>
          <cell r="C67"/>
          <cell r="D67"/>
        </row>
        <row r="69">
          <cell r="B69" t="str">
            <v>Código</v>
          </cell>
          <cell r="C69" t="str">
            <v>Estado</v>
          </cell>
          <cell r="D69" t="str">
            <v>Mantenimiento</v>
          </cell>
        </row>
        <row r="70">
          <cell r="B70" t="str">
            <v>Generador</v>
          </cell>
          <cell r="C70" t="str">
            <v>Generador</v>
          </cell>
          <cell r="D70" t="str">
            <v>Proveedor</v>
          </cell>
        </row>
        <row r="71">
          <cell r="B71" t="str">
            <v>D15_G_01</v>
          </cell>
          <cell r="C71">
            <v>2</v>
          </cell>
          <cell r="D71">
            <v>3</v>
          </cell>
        </row>
        <row r="72">
          <cell r="B72"/>
          <cell r="C72"/>
        </row>
        <row r="73">
          <cell r="B73" t="str">
            <v>GENERADOR</v>
          </cell>
          <cell r="C73"/>
          <cell r="D73" t="str">
            <v>Estado</v>
          </cell>
        </row>
        <row r="74">
          <cell r="B74" t="str">
            <v>Tanque de Combustible</v>
          </cell>
          <cell r="C74"/>
          <cell r="D74">
            <v>0.6</v>
          </cell>
        </row>
        <row r="75">
          <cell r="B75" t="str">
            <v>Batería</v>
          </cell>
          <cell r="C75"/>
          <cell r="D75" t="str">
            <v>OK</v>
          </cell>
        </row>
        <row r="76">
          <cell r="B76" t="str">
            <v>Liquido Refrigerante</v>
          </cell>
          <cell r="C76"/>
          <cell r="D76" t="str">
            <v>N/A</v>
          </cell>
        </row>
        <row r="77">
          <cell r="B77" t="str">
            <v>Aceite</v>
          </cell>
          <cell r="C77"/>
          <cell r="D77" t="str">
            <v>OK</v>
          </cell>
        </row>
        <row r="79">
          <cell r="B79" t="str">
            <v>Comentarios:</v>
          </cell>
          <cell r="C79" t="str">
            <v>Manguera de acometida desde tanque de gasoil comienza a cuartearse. Verificar.</v>
          </cell>
          <cell r="D79"/>
        </row>
        <row r="117">
          <cell r="B117" t="str">
            <v>SUBESTACIÓN</v>
          </cell>
          <cell r="C117"/>
          <cell r="D117" t="str">
            <v>Estado</v>
          </cell>
        </row>
        <row r="118">
          <cell r="B118" t="str">
            <v>Objetos extraños</v>
          </cell>
          <cell r="C118"/>
          <cell r="D118" t="str">
            <v>NO OK</v>
          </cell>
        </row>
        <row r="119">
          <cell r="B119" t="str">
            <v>Filtraciones de agua</v>
          </cell>
          <cell r="C119"/>
          <cell r="D119" t="str">
            <v>OK</v>
          </cell>
        </row>
        <row r="120">
          <cell r="B120" t="str">
            <v>Tableros eléctricos</v>
          </cell>
          <cell r="C120"/>
          <cell r="D120" t="str">
            <v>OK</v>
          </cell>
        </row>
        <row r="121">
          <cell r="B121" t="str">
            <v>Bancos de _x000D_condensadores</v>
          </cell>
          <cell r="C121"/>
          <cell r="D121" t="str">
            <v>NO OK</v>
          </cell>
        </row>
        <row r="122">
          <cell r="D122"/>
        </row>
        <row r="123">
          <cell r="B123" t="str">
            <v>Comentarios:</v>
          </cell>
          <cell r="C123" t="str">
            <v>Garrafas acopiadas en sala de tableros. Retirar.</v>
          </cell>
          <cell r="D123"/>
        </row>
        <row r="124">
          <cell r="B124"/>
          <cell r="C124" t="str">
            <v>Display sujeto con cinta adhesiva.</v>
          </cell>
          <cell r="D124"/>
        </row>
        <row r="125">
          <cell r="B125"/>
          <cell r="C125" t="str">
            <v>Interruptor Q3 acometida inferior a 45°C. Verificar.</v>
          </cell>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B162" t="str">
            <v>UPS</v>
          </cell>
          <cell r="C162"/>
          <cell r="D162" t="str">
            <v>Estado</v>
          </cell>
        </row>
        <row r="163">
          <cell r="B163" t="str">
            <v>UPS en línea</v>
          </cell>
          <cell r="C163"/>
          <cell r="D163" t="str">
            <v>OK</v>
          </cell>
        </row>
        <row r="164">
          <cell r="B164" t="str">
            <v>Aire acondicionado dedicado</v>
          </cell>
          <cell r="C164"/>
          <cell r="D164" t="str">
            <v>OK</v>
          </cell>
        </row>
        <row r="165">
          <cell r="B165" t="str">
            <v>Estado de carga de baterías</v>
          </cell>
          <cell r="C165"/>
          <cell r="D165" t="str">
            <v>OK</v>
          </cell>
        </row>
        <row r="166">
          <cell r="C166"/>
          <cell r="D166"/>
        </row>
        <row r="167">
          <cell r="B167"/>
          <cell r="C167"/>
        </row>
        <row r="168">
          <cell r="B168"/>
        </row>
        <row r="169">
          <cell r="B169"/>
        </row>
        <row r="170">
          <cell r="B170"/>
        </row>
        <row r="171">
          <cell r="B171"/>
        </row>
        <row r="172">
          <cell r="B172"/>
        </row>
        <row r="173">
          <cell r="B173"/>
        </row>
        <row r="174">
          <cell r="B174"/>
        </row>
        <row r="175">
          <cell r="B175"/>
        </row>
        <row r="176">
          <cell r="B176"/>
        </row>
        <row r="186">
          <cell r="B186" t="str">
            <v>3   GAS</v>
          </cell>
          <cell r="C186"/>
          <cell r="D186"/>
        </row>
        <row r="188">
          <cell r="B188" t="str">
            <v>GAS</v>
          </cell>
          <cell r="C188"/>
          <cell r="D188" t="str">
            <v>Estado</v>
          </cell>
        </row>
        <row r="189">
          <cell r="B189" t="str">
            <v>Flexibles autorizados</v>
          </cell>
          <cell r="C189"/>
          <cell r="D189" t="str">
            <v>N/A</v>
          </cell>
        </row>
        <row r="190">
          <cell r="B190" t="str">
            <v>Sistema de corte por pánico</v>
          </cell>
          <cell r="C190"/>
          <cell r="D190" t="str">
            <v>N/A</v>
          </cell>
        </row>
        <row r="191">
          <cell r="C191"/>
          <cell r="D191"/>
        </row>
        <row r="192">
          <cell r="C192"/>
          <cell r="D192"/>
        </row>
        <row r="193">
          <cell r="B193" t="str">
            <v>4   OBSERVACIONES GENERALES</v>
          </cell>
          <cell r="C193"/>
          <cell r="D193"/>
        </row>
        <row r="194">
          <cell r="C194"/>
          <cell r="D194"/>
        </row>
        <row r="195">
          <cell r="C195"/>
          <cell r="D195"/>
        </row>
        <row r="196">
          <cell r="C196"/>
          <cell r="D196"/>
        </row>
        <row r="197">
          <cell r="C197"/>
          <cell r="D197"/>
        </row>
        <row r="198">
          <cell r="C198"/>
          <cell r="D198"/>
        </row>
        <row r="199">
          <cell r="C199"/>
          <cell r="D199"/>
        </row>
        <row r="200">
          <cell r="C200"/>
          <cell r="D200"/>
        </row>
        <row r="201">
          <cell r="C201"/>
          <cell r="D201"/>
        </row>
        <row r="202">
          <cell r="C202"/>
          <cell r="D202"/>
        </row>
        <row r="203">
          <cell r="C203"/>
          <cell r="D203"/>
        </row>
        <row r="204">
          <cell r="C204"/>
          <cell r="D204"/>
        </row>
        <row r="205">
          <cell r="C205"/>
          <cell r="D205"/>
        </row>
        <row r="206">
          <cell r="C206"/>
          <cell r="D206"/>
        </row>
        <row r="207">
          <cell r="C207"/>
          <cell r="D207"/>
        </row>
        <row r="208">
          <cell r="C208"/>
          <cell r="D208"/>
        </row>
        <row r="209">
          <cell r="C209"/>
          <cell r="D209"/>
        </row>
        <row r="210">
          <cell r="C210"/>
          <cell r="D210"/>
        </row>
        <row r="211">
          <cell r="C211"/>
          <cell r="D211"/>
        </row>
        <row r="212">
          <cell r="C212"/>
          <cell r="D212"/>
        </row>
        <row r="213">
          <cell r="C213"/>
          <cell r="D213"/>
        </row>
        <row r="214">
          <cell r="C214"/>
          <cell r="D214"/>
        </row>
        <row r="215">
          <cell r="C215"/>
          <cell r="D215"/>
        </row>
        <row r="216">
          <cell r="C216"/>
          <cell r="D216"/>
        </row>
        <row r="217">
          <cell r="C217"/>
          <cell r="D217"/>
        </row>
        <row r="219">
          <cell r="C219"/>
          <cell r="D219"/>
        </row>
        <row r="220">
          <cell r="C220"/>
          <cell r="D220"/>
        </row>
        <row r="221">
          <cell r="C221"/>
          <cell r="D221"/>
        </row>
        <row r="222">
          <cell r="C222"/>
          <cell r="D222"/>
        </row>
        <row r="223">
          <cell r="C223"/>
          <cell r="D223"/>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2OLO55MIAZ7FGKEM3HAIEUD6L5">
      <xxl21:absoluteUrl r:id="rId2"/>
    </xxl21:alternateUrls>
    <sheetNames>
      <sheetName val="Informe"/>
    </sheetNames>
    <sheetDataSet>
      <sheetData sheetId="0">
        <row r="5">
          <cell r="B5" t="str">
            <v>SUCURSAL:</v>
          </cell>
          <cell r="C5" t="str">
            <v>DISCO 16</v>
          </cell>
        </row>
        <row r="7">
          <cell r="B7" t="str">
            <v>1   AIRE ACONDICIONADO</v>
          </cell>
          <cell r="C7"/>
          <cell r="D7"/>
        </row>
        <row r="9">
          <cell r="B9" t="str">
            <v>CD/CI Sucursal</v>
          </cell>
          <cell r="C9">
            <v>0.66666666666666663</v>
          </cell>
        </row>
        <row r="11">
          <cell r="B11" t="str">
            <v>Código</v>
          </cell>
          <cell r="C11"/>
          <cell r="D11" t="str">
            <v>Estado del equipo</v>
          </cell>
        </row>
        <row r="12">
          <cell r="B12" t="str">
            <v>Equipo</v>
          </cell>
          <cell r="C12" t="str">
            <v>Intercambiadores</v>
          </cell>
          <cell r="D12" t="str">
            <v>Gabinete</v>
          </cell>
        </row>
        <row r="13">
          <cell r="B13" t="str">
            <v>D16_S_01</v>
          </cell>
          <cell r="C13">
            <v>2</v>
          </cell>
          <cell r="D13">
            <v>2</v>
          </cell>
        </row>
        <row r="14">
          <cell r="B14" t="str">
            <v>D16_S_02</v>
          </cell>
          <cell r="C14">
            <v>2</v>
          </cell>
          <cell r="D14">
            <v>2</v>
          </cell>
        </row>
        <row r="15">
          <cell r="B15" t="str">
            <v>D16_S_03</v>
          </cell>
          <cell r="C15">
            <v>2</v>
          </cell>
          <cell r="D15">
            <v>3</v>
          </cell>
        </row>
        <row r="16">
          <cell r="D16"/>
        </row>
        <row r="17">
          <cell r="B17" t="str">
            <v>Comentarios:</v>
          </cell>
          <cell r="C17"/>
          <cell r="D17"/>
        </row>
        <row r="18">
          <cell r="B18" t="str">
            <v>S_02</v>
          </cell>
          <cell r="C18" t="str">
            <v>Equipo fuera de servicio. Hace saltar llave diferencial.</v>
          </cell>
          <cell r="D18"/>
        </row>
        <row r="19">
          <cell r="B19"/>
        </row>
        <row r="20">
          <cell r="B20"/>
        </row>
        <row r="21">
          <cell r="B21"/>
        </row>
        <row r="22">
          <cell r="B22"/>
        </row>
        <row r="23">
          <cell r="C23"/>
          <cell r="D23"/>
        </row>
        <row r="24">
          <cell r="C24"/>
          <cell r="D24"/>
        </row>
        <row r="25">
          <cell r="B25"/>
          <cell r="C25"/>
          <cell r="D25"/>
        </row>
        <row r="26">
          <cell r="B26"/>
          <cell r="C26"/>
          <cell r="D26"/>
        </row>
        <row r="27">
          <cell r="B27"/>
          <cell r="C27"/>
          <cell r="D27"/>
        </row>
        <row r="28">
          <cell r="B28"/>
          <cell r="C28"/>
          <cell r="D28"/>
        </row>
        <row r="29">
          <cell r="B29"/>
          <cell r="C29"/>
          <cell r="D29"/>
        </row>
        <row r="30">
          <cell r="B30"/>
          <cell r="C30"/>
          <cell r="D30"/>
        </row>
        <row r="31">
          <cell r="B31"/>
          <cell r="C31"/>
          <cell r="D31"/>
        </row>
        <row r="32">
          <cell r="B32"/>
          <cell r="C32"/>
          <cell r="D32"/>
        </row>
        <row r="33">
          <cell r="B33"/>
          <cell r="C33"/>
          <cell r="D33"/>
        </row>
        <row r="34">
          <cell r="B34"/>
          <cell r="C34"/>
          <cell r="D34"/>
        </row>
        <row r="35">
          <cell r="B35"/>
          <cell r="C35"/>
          <cell r="D35"/>
        </row>
        <row r="36">
          <cell r="B36"/>
          <cell r="C36"/>
          <cell r="D36"/>
        </row>
        <row r="37">
          <cell r="B37"/>
          <cell r="C37"/>
          <cell r="D37"/>
        </row>
        <row r="38">
          <cell r="B38"/>
          <cell r="C38"/>
          <cell r="D38"/>
        </row>
        <row r="39">
          <cell r="B39"/>
          <cell r="C39"/>
          <cell r="D39"/>
        </row>
        <row r="40">
          <cell r="B40"/>
          <cell r="C40"/>
          <cell r="D40"/>
        </row>
        <row r="41">
          <cell r="B41"/>
          <cell r="C41"/>
          <cell r="D41"/>
        </row>
        <row r="42">
          <cell r="B42"/>
          <cell r="C42"/>
          <cell r="D42"/>
        </row>
        <row r="43">
          <cell r="B43"/>
          <cell r="C43"/>
          <cell r="D43"/>
        </row>
        <row r="44">
          <cell r="B44"/>
          <cell r="C44"/>
          <cell r="D44"/>
        </row>
        <row r="45">
          <cell r="B45" t="str">
            <v>2   ELÉCTRICA</v>
          </cell>
          <cell r="C45"/>
          <cell r="D45"/>
        </row>
        <row r="47">
          <cell r="B47" t="str">
            <v>Código</v>
          </cell>
          <cell r="C47" t="str">
            <v>Estado</v>
          </cell>
          <cell r="D47" t="str">
            <v>Mantenimiento</v>
          </cell>
        </row>
        <row r="48">
          <cell r="B48" t="str">
            <v>Generador</v>
          </cell>
          <cell r="C48" t="str">
            <v>Generador</v>
          </cell>
          <cell r="D48" t="str">
            <v>Proveedor</v>
          </cell>
        </row>
        <row r="49">
          <cell r="B49" t="str">
            <v>D16_G_01</v>
          </cell>
          <cell r="C49">
            <v>2</v>
          </cell>
          <cell r="D49">
            <v>2</v>
          </cell>
        </row>
        <row r="50">
          <cell r="B50"/>
          <cell r="C50"/>
          <cell r="D50"/>
        </row>
        <row r="51">
          <cell r="B51" t="str">
            <v>GENERADOR</v>
          </cell>
          <cell r="C51"/>
          <cell r="D51" t="str">
            <v>Estado</v>
          </cell>
        </row>
        <row r="52">
          <cell r="B52" t="str">
            <v>Tanque de Combustible</v>
          </cell>
          <cell r="C52"/>
          <cell r="D52">
            <v>0.8</v>
          </cell>
        </row>
        <row r="53">
          <cell r="B53" t="str">
            <v>Batería</v>
          </cell>
          <cell r="C53"/>
          <cell r="D53" t="str">
            <v>OK</v>
          </cell>
        </row>
        <row r="54">
          <cell r="B54" t="str">
            <v xml:space="preserve">Liquido Refrigerante </v>
          </cell>
          <cell r="C54"/>
          <cell r="D54" t="str">
            <v>OK</v>
          </cell>
        </row>
        <row r="55">
          <cell r="B55" t="str">
            <v>Lubricante</v>
          </cell>
          <cell r="C55"/>
          <cell r="D55" t="str">
            <v>OK</v>
          </cell>
        </row>
        <row r="56">
          <cell r="D56"/>
        </row>
        <row r="57">
          <cell r="B57" t="str">
            <v>Comentarios:</v>
          </cell>
          <cell r="C57" t="str">
            <v>Proteger correas.</v>
          </cell>
          <cell r="D57"/>
        </row>
        <row r="58">
          <cell r="B58"/>
        </row>
        <row r="89">
          <cell r="B89" t="str">
            <v>SUBESTACIÓN</v>
          </cell>
          <cell r="C89"/>
          <cell r="D89" t="str">
            <v>Estado</v>
          </cell>
        </row>
        <row r="90">
          <cell r="B90" t="str">
            <v>Objetos extraños</v>
          </cell>
          <cell r="C90"/>
          <cell r="D90" t="str">
            <v>OK</v>
          </cell>
        </row>
        <row r="91">
          <cell r="B91" t="str">
            <v>Filtraciones de agua</v>
          </cell>
          <cell r="C91"/>
          <cell r="D91" t="str">
            <v>OK</v>
          </cell>
        </row>
        <row r="92">
          <cell r="B92" t="str">
            <v>Tableros eléctricos</v>
          </cell>
          <cell r="C92"/>
          <cell r="D92" t="str">
            <v>OK</v>
          </cell>
        </row>
        <row r="93">
          <cell r="B93" t="str">
            <v>Bancos de 
condensadores</v>
          </cell>
          <cell r="C93"/>
          <cell r="D93" t="str">
            <v>OK</v>
          </cell>
        </row>
        <row r="94">
          <cell r="D94"/>
        </row>
        <row r="95">
          <cell r="B95" t="str">
            <v>Comentarios:</v>
          </cell>
          <cell r="C95" t="str">
            <v>S_02 hace saltar la diferencial. Cartel avisa de no subir la llave. Controlar.</v>
          </cell>
          <cell r="D95"/>
        </row>
        <row r="96">
          <cell r="B96"/>
          <cell r="C96" t="str">
            <v>Contactor ABB en tablero TG2, acometida superior a 42°C. Verificar.</v>
          </cell>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B149" t="str">
            <v>UPS</v>
          </cell>
          <cell r="C149"/>
          <cell r="D149" t="str">
            <v>Estado</v>
          </cell>
        </row>
        <row r="150">
          <cell r="B150" t="str">
            <v>Aire acondicionado dedicado</v>
          </cell>
          <cell r="C150"/>
          <cell r="D150" t="str">
            <v>OK</v>
          </cell>
        </row>
        <row r="151">
          <cell r="B151" t="str">
            <v>Estado de carga de baterías</v>
          </cell>
          <cell r="C151"/>
          <cell r="D151" t="str">
            <v>OK</v>
          </cell>
        </row>
        <row r="152">
          <cell r="C152"/>
          <cell r="D152"/>
        </row>
        <row r="153">
          <cell r="B153"/>
          <cell r="C153"/>
        </row>
        <row r="171">
          <cell r="B171" t="str">
            <v>3   GAS</v>
          </cell>
          <cell r="C171"/>
          <cell r="D171"/>
        </row>
        <row r="173">
          <cell r="B173" t="str">
            <v>GAS</v>
          </cell>
          <cell r="C173"/>
          <cell r="D173" t="str">
            <v>Estado</v>
          </cell>
        </row>
        <row r="174">
          <cell r="B174" t="str">
            <v>Flexibles autorizados</v>
          </cell>
          <cell r="C174"/>
          <cell r="D174" t="str">
            <v>N/A</v>
          </cell>
        </row>
        <row r="175">
          <cell r="B175" t="str">
            <v>Sistema de corte por pánico</v>
          </cell>
          <cell r="C175"/>
          <cell r="D175" t="str">
            <v>N/A</v>
          </cell>
        </row>
        <row r="176">
          <cell r="C176"/>
          <cell r="D176"/>
        </row>
        <row r="177">
          <cell r="B177" t="str">
            <v>Comentarios:</v>
          </cell>
          <cell r="C177" t="str">
            <v>Nicho de gas con bisagra rota y puerta caída. Reparar.</v>
          </cell>
          <cell r="D177"/>
        </row>
        <row r="178">
          <cell r="C178"/>
          <cell r="D178"/>
        </row>
        <row r="179">
          <cell r="C179"/>
          <cell r="D179"/>
        </row>
        <row r="180">
          <cell r="C180"/>
          <cell r="D180"/>
        </row>
        <row r="181">
          <cell r="C181"/>
          <cell r="D181"/>
        </row>
        <row r="182">
          <cell r="C182"/>
          <cell r="D182"/>
        </row>
        <row r="183">
          <cell r="C183"/>
          <cell r="D183"/>
        </row>
        <row r="184">
          <cell r="C184"/>
          <cell r="D184"/>
        </row>
        <row r="185">
          <cell r="C185"/>
          <cell r="D185"/>
        </row>
        <row r="186">
          <cell r="C186"/>
          <cell r="D186"/>
        </row>
        <row r="187">
          <cell r="C187"/>
          <cell r="D187"/>
        </row>
        <row r="188">
          <cell r="C188"/>
          <cell r="D188"/>
        </row>
        <row r="189">
          <cell r="C189"/>
          <cell r="D189"/>
        </row>
        <row r="190">
          <cell r="C190"/>
          <cell r="D190"/>
        </row>
        <row r="191">
          <cell r="C191"/>
          <cell r="D191"/>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ZTI6ZACF2LZRFLXBNWF4RVRMAY">
      <xxl21:absoluteUrl r:id="rId2"/>
    </xxl21:alternateUrls>
    <sheetNames>
      <sheetName val="Informe"/>
    </sheetNames>
    <sheetDataSet>
      <sheetData sheetId="0">
        <row r="5">
          <cell r="B5" t="str">
            <v>SUCURSAL:</v>
          </cell>
          <cell r="C5" t="str">
            <v>DISCO 17</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D17_R_01</v>
          </cell>
          <cell r="C13">
            <v>1</v>
          </cell>
          <cell r="D13">
            <v>2</v>
          </cell>
        </row>
        <row r="14">
          <cell r="B14" t="str">
            <v>D17_R_02</v>
          </cell>
          <cell r="C14">
            <v>2</v>
          </cell>
          <cell r="D14">
            <v>3</v>
          </cell>
        </row>
        <row r="15">
          <cell r="B15" t="str">
            <v>D17_S_01</v>
          </cell>
          <cell r="C15">
            <v>3</v>
          </cell>
          <cell r="D15">
            <v>3</v>
          </cell>
        </row>
        <row r="16">
          <cell r="B16" t="str">
            <v>D17_S_02</v>
          </cell>
          <cell r="C16">
            <v>2</v>
          </cell>
          <cell r="D16">
            <v>3</v>
          </cell>
        </row>
        <row r="17">
          <cell r="D17"/>
        </row>
        <row r="18">
          <cell r="B18" t="str">
            <v>Comentarios:</v>
          </cell>
          <cell r="C18" t="str">
            <v>Difusores y rejillas de extracción de aire en salón muy sucios. Limpiar.</v>
          </cell>
          <cell r="D18"/>
        </row>
        <row r="19">
          <cell r="B19" t="str">
            <v>R_01</v>
          </cell>
          <cell r="C19" t="str">
            <v>No presenta sifón en desagüe.</v>
          </cell>
          <cell r="D19"/>
        </row>
        <row r="20">
          <cell r="B20" t="str">
            <v>R_01</v>
          </cell>
          <cell r="C20" t="str">
            <v>Intercambiador exterior en muy mal estado. Ductos a la vista.</v>
          </cell>
          <cell r="D20"/>
        </row>
        <row r="21">
          <cell r="B21" t="str">
            <v>R_01</v>
          </cell>
          <cell r="C21" t="str">
            <v>Ductos abollados y con aislación rota.</v>
          </cell>
          <cell r="D21"/>
        </row>
        <row r="22">
          <cell r="B22" t="str">
            <v>R_02</v>
          </cell>
          <cell r="C22" t="str">
            <v>Agua de condensación cae por gabinete sobre azotea.</v>
          </cell>
          <cell r="D22"/>
        </row>
        <row r="23">
          <cell r="B23" t="str">
            <v>R_02</v>
          </cell>
          <cell r="C23" t="str">
            <v>Intercambiador exterior sucio. Limpiar.</v>
          </cell>
          <cell r="D23"/>
        </row>
        <row r="24">
          <cell r="B24" t="str">
            <v>R_02</v>
          </cell>
          <cell r="C24" t="str">
            <v>Transormadores sin protección cerca de ductos.</v>
          </cell>
          <cell r="D24"/>
        </row>
        <row r="25">
          <cell r="B25"/>
        </row>
        <row r="26">
          <cell r="B26"/>
        </row>
        <row r="27">
          <cell r="B27"/>
        </row>
        <row r="28">
          <cell r="B28"/>
        </row>
        <row r="29">
          <cell r="B29"/>
        </row>
        <row r="30">
          <cell r="B30"/>
        </row>
        <row r="51">
          <cell r="D51"/>
        </row>
        <row r="52">
          <cell r="D5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B90" t="str">
            <v>2   ELÉCTRICA</v>
          </cell>
          <cell r="C90"/>
          <cell r="D90"/>
        </row>
        <row r="92">
          <cell r="B92" t="str">
            <v>Código</v>
          </cell>
          <cell r="C92" t="str">
            <v>Estado</v>
          </cell>
          <cell r="D92" t="str">
            <v>Mantenimiento</v>
          </cell>
        </row>
        <row r="93">
          <cell r="B93" t="str">
            <v>Generador</v>
          </cell>
          <cell r="C93" t="str">
            <v>Generador</v>
          </cell>
          <cell r="D93" t="str">
            <v>Proveedor</v>
          </cell>
        </row>
        <row r="94">
          <cell r="B94" t="str">
            <v>D17_G_01</v>
          </cell>
          <cell r="C94">
            <v>3</v>
          </cell>
          <cell r="D94">
            <v>3</v>
          </cell>
        </row>
        <row r="95">
          <cell r="B95"/>
          <cell r="C95"/>
        </row>
        <row r="96">
          <cell r="B96" t="str">
            <v>GENERADOR</v>
          </cell>
          <cell r="C96"/>
          <cell r="D96" t="str">
            <v>Estado</v>
          </cell>
        </row>
        <row r="97">
          <cell r="B97" t="str">
            <v>Tanque de Combustible</v>
          </cell>
          <cell r="C97"/>
          <cell r="D97">
            <v>0.9</v>
          </cell>
        </row>
        <row r="98">
          <cell r="B98" t="str">
            <v>Batería</v>
          </cell>
          <cell r="C98"/>
          <cell r="D98" t="str">
            <v>OK</v>
          </cell>
        </row>
        <row r="99">
          <cell r="B99" t="str">
            <v xml:space="preserve">Liquido refrigerante </v>
          </cell>
          <cell r="C99"/>
          <cell r="D99" t="str">
            <v>OK</v>
          </cell>
        </row>
        <row r="100">
          <cell r="B100" t="str">
            <v>Aceite</v>
          </cell>
          <cell r="C100"/>
          <cell r="D100" t="str">
            <v>OK</v>
          </cell>
        </row>
        <row r="129">
          <cell r="B129" t="str">
            <v>SUBESTACIÓN</v>
          </cell>
          <cell r="C129"/>
          <cell r="D129" t="str">
            <v>Estado</v>
          </cell>
        </row>
        <row r="130">
          <cell r="B130" t="str">
            <v>Objetos extraños</v>
          </cell>
          <cell r="C130"/>
          <cell r="D130" t="str">
            <v>OK</v>
          </cell>
        </row>
        <row r="131">
          <cell r="B131" t="str">
            <v>Filtraciones de agua</v>
          </cell>
          <cell r="C131"/>
          <cell r="D131" t="str">
            <v>OK</v>
          </cell>
        </row>
        <row r="132">
          <cell r="B132" t="str">
            <v>Tableros eléctricos</v>
          </cell>
          <cell r="C132"/>
          <cell r="D132" t="str">
            <v>OK</v>
          </cell>
        </row>
        <row r="133">
          <cell r="B133" t="str">
            <v>Bancos de _x000D_condensadores</v>
          </cell>
          <cell r="C133"/>
          <cell r="D133" t="str">
            <v>OK</v>
          </cell>
        </row>
        <row r="134">
          <cell r="D134"/>
        </row>
        <row r="135">
          <cell r="B135" t="str">
            <v>Comentarios:</v>
          </cell>
          <cell r="C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B162" t="str">
            <v>UPS</v>
          </cell>
          <cell r="C162"/>
          <cell r="D162" t="str">
            <v>Estado</v>
          </cell>
        </row>
        <row r="163">
          <cell r="B163" t="str">
            <v>UPS en línea</v>
          </cell>
          <cell r="C163"/>
          <cell r="D163" t="str">
            <v>OK</v>
          </cell>
        </row>
        <row r="164">
          <cell r="B164" t="str">
            <v>Aire acondicionado dedicado</v>
          </cell>
          <cell r="C164"/>
          <cell r="D164" t="str">
            <v>NO OK</v>
          </cell>
        </row>
        <row r="165">
          <cell r="B165" t="str">
            <v>Estado de carga de baterías</v>
          </cell>
          <cell r="C165"/>
          <cell r="D165" t="str">
            <v>OK</v>
          </cell>
        </row>
        <row r="166">
          <cell r="B166"/>
          <cell r="C166"/>
        </row>
        <row r="167">
          <cell r="B167" t="str">
            <v>Comentarios:</v>
          </cell>
          <cell r="C167" t="str">
            <v>No hay aire acondicionado dedicado a su acondicionamiento térmico.</v>
          </cell>
          <cell r="D167"/>
        </row>
        <row r="168">
          <cell r="B168"/>
        </row>
        <row r="169">
          <cell r="B169"/>
        </row>
        <row r="170">
          <cell r="B170"/>
        </row>
        <row r="171">
          <cell r="B171"/>
        </row>
        <row r="172">
          <cell r="B172"/>
        </row>
        <row r="177">
          <cell r="B177" t="str">
            <v>3   GAS</v>
          </cell>
          <cell r="C177"/>
          <cell r="D177"/>
        </row>
        <row r="179">
          <cell r="B179" t="str">
            <v>GAS</v>
          </cell>
          <cell r="C179"/>
          <cell r="D179" t="str">
            <v>Estado</v>
          </cell>
        </row>
        <row r="180">
          <cell r="B180" t="str">
            <v>Flexibles autorizados</v>
          </cell>
          <cell r="C180"/>
          <cell r="D180" t="str">
            <v>N/A</v>
          </cell>
        </row>
        <row r="181">
          <cell r="B181" t="str">
            <v>Sistema de corte por pánico</v>
          </cell>
          <cell r="C181"/>
          <cell r="D181" t="str">
            <v>N/A</v>
          </cell>
        </row>
        <row r="184">
          <cell r="B184" t="str">
            <v>4   OBSERVACIONES GENERALES</v>
          </cell>
          <cell r="C184"/>
          <cell r="D184"/>
        </row>
        <row r="186">
          <cell r="B186" t="str">
            <v>Comentarios:</v>
          </cell>
          <cell r="C186" t="str">
            <v>Losa de apoyo Rooftops de estacionamiento con reboque caído y hierros a la vista.</v>
          </cell>
          <cell r="D186"/>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T2OSEHYKZLZHK7HTO7LY2KOC2">
      <xxl21:absoluteUrl r:id="rId2"/>
    </xxl21:alternateUrls>
    <sheetNames>
      <sheetName val="Informe"/>
    </sheetNames>
    <sheetDataSet>
      <sheetData sheetId="0">
        <row r="5">
          <cell r="B5" t="str">
            <v>SUCURSAL:</v>
          </cell>
          <cell r="C5" t="str">
            <v>DISCO 18</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D18_R_01</v>
          </cell>
          <cell r="C13">
            <v>2</v>
          </cell>
          <cell r="D13">
            <v>2</v>
          </cell>
        </row>
        <row r="14">
          <cell r="B14" t="str">
            <v>D18_R_02</v>
          </cell>
          <cell r="C14">
            <v>2</v>
          </cell>
          <cell r="D14">
            <v>2</v>
          </cell>
        </row>
        <row r="15">
          <cell r="B15" t="str">
            <v>D18_R_03</v>
          </cell>
          <cell r="C15">
            <v>2</v>
          </cell>
          <cell r="D15">
            <v>2</v>
          </cell>
        </row>
        <row r="16">
          <cell r="B16" t="str">
            <v>D18_R_04</v>
          </cell>
          <cell r="C16">
            <v>2</v>
          </cell>
          <cell r="D16">
            <v>2</v>
          </cell>
        </row>
        <row r="17">
          <cell r="B17" t="str">
            <v>D18_S_01</v>
          </cell>
          <cell r="C17">
            <v>2</v>
          </cell>
          <cell r="D17">
            <v>2</v>
          </cell>
        </row>
        <row r="18">
          <cell r="B18" t="str">
            <v>D18_S_02</v>
          </cell>
          <cell r="C18">
            <v>2</v>
          </cell>
          <cell r="D18">
            <v>2</v>
          </cell>
        </row>
        <row r="19">
          <cell r="B19" t="str">
            <v>D18_S_03</v>
          </cell>
          <cell r="C19">
            <v>3</v>
          </cell>
          <cell r="D19">
            <v>3</v>
          </cell>
        </row>
        <row r="20">
          <cell r="B20" t="str">
            <v>D18_S_04</v>
          </cell>
          <cell r="C20">
            <v>2</v>
          </cell>
          <cell r="D20">
            <v>3</v>
          </cell>
        </row>
        <row r="21">
          <cell r="B21" t="str">
            <v>D18_S_05</v>
          </cell>
          <cell r="C21">
            <v>2</v>
          </cell>
          <cell r="D21">
            <v>3</v>
          </cell>
        </row>
        <row r="22">
          <cell r="B22" t="str">
            <v>D18_S_06</v>
          </cell>
          <cell r="C22">
            <v>2</v>
          </cell>
          <cell r="D22">
            <v>3</v>
          </cell>
        </row>
        <row r="23">
          <cell r="D23"/>
        </row>
        <row r="24">
          <cell r="B24" t="str">
            <v>Comentarios:</v>
          </cell>
          <cell r="C24"/>
          <cell r="D24"/>
        </row>
        <row r="25">
          <cell r="B25" t="str">
            <v>S_01</v>
          </cell>
          <cell r="C25" t="str">
            <v>Inferior de gabinete con avanzado estado de oxidación.</v>
          </cell>
          <cell r="D25"/>
        </row>
        <row r="26">
          <cell r="B26" t="str">
            <v>S_05/S_06</v>
          </cell>
          <cell r="C26" t="str">
            <v>Rejillas en unidades interiores sucias. Limpiar.</v>
          </cell>
          <cell r="D26"/>
        </row>
        <row r="27">
          <cell r="B27" t="str">
            <v>R_01/R_04</v>
          </cell>
          <cell r="C27" t="str">
            <v>Intercambiadores interiores y filtros en renovación de aire sucios.</v>
          </cell>
          <cell r="D27"/>
        </row>
        <row r="28">
          <cell r="B28" t="str">
            <v>R_01/R_04</v>
          </cell>
          <cell r="C28" t="str">
            <v>Deformación en puertas dificulta el cierre de las mismas.</v>
          </cell>
          <cell r="D28"/>
        </row>
        <row r="29">
          <cell r="B29"/>
        </row>
        <row r="30">
          <cell r="B30"/>
        </row>
        <row r="31">
          <cell r="B31"/>
        </row>
        <row r="32">
          <cell r="B32"/>
        </row>
        <row r="33">
          <cell r="B33"/>
        </row>
        <row r="34">
          <cell r="B34"/>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cell r="D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row>
        <row r="114">
          <cell r="B114"/>
        </row>
        <row r="115">
          <cell r="B115"/>
        </row>
        <row r="116">
          <cell r="B116"/>
        </row>
        <row r="117">
          <cell r="B117"/>
        </row>
        <row r="118">
          <cell r="B118"/>
        </row>
        <row r="119">
          <cell r="B119"/>
        </row>
        <row r="120">
          <cell r="B120"/>
        </row>
        <row r="121">
          <cell r="B121"/>
        </row>
        <row r="122">
          <cell r="B122"/>
        </row>
        <row r="123">
          <cell r="B123"/>
        </row>
        <row r="124">
          <cell r="B124"/>
        </row>
        <row r="125">
          <cell r="B125"/>
        </row>
        <row r="126">
          <cell r="B126" t="str">
            <v>2   ELÉCTRICA</v>
          </cell>
          <cell r="C126"/>
          <cell r="D126"/>
        </row>
        <row r="128">
          <cell r="B128" t="str">
            <v>Código</v>
          </cell>
          <cell r="C128" t="str">
            <v>Estado</v>
          </cell>
          <cell r="D128" t="str">
            <v>Mantenimiento</v>
          </cell>
        </row>
        <row r="129">
          <cell r="B129" t="str">
            <v>Generador</v>
          </cell>
          <cell r="C129" t="str">
            <v>Generador</v>
          </cell>
          <cell r="D129" t="str">
            <v>Proveedor</v>
          </cell>
        </row>
        <row r="130">
          <cell r="B130" t="str">
            <v>D18_G_01</v>
          </cell>
          <cell r="C130">
            <v>2</v>
          </cell>
          <cell r="D130">
            <v>3</v>
          </cell>
        </row>
        <row r="131">
          <cell r="B131"/>
          <cell r="C131"/>
        </row>
        <row r="132">
          <cell r="B132" t="str">
            <v>GENERADOR</v>
          </cell>
          <cell r="C132"/>
          <cell r="D132" t="str">
            <v>Estado</v>
          </cell>
        </row>
        <row r="133">
          <cell r="B133" t="str">
            <v>Tanque de combustible</v>
          </cell>
          <cell r="C133"/>
          <cell r="D133">
            <v>0.5</v>
          </cell>
        </row>
        <row r="134">
          <cell r="B134" t="str">
            <v>Batería</v>
          </cell>
          <cell r="C134"/>
          <cell r="D134" t="str">
            <v>OK</v>
          </cell>
        </row>
        <row r="135">
          <cell r="B135" t="str">
            <v>Liquido refrigerante</v>
          </cell>
          <cell r="C135"/>
          <cell r="D135" t="str">
            <v>OK</v>
          </cell>
        </row>
        <row r="136">
          <cell r="B136" t="str">
            <v>Aceite</v>
          </cell>
          <cell r="C136"/>
          <cell r="D136" t="str">
            <v>OK</v>
          </cell>
        </row>
        <row r="137">
          <cell r="B137"/>
        </row>
        <row r="138">
          <cell r="B138"/>
        </row>
        <row r="139">
          <cell r="B139"/>
        </row>
        <row r="140">
          <cell r="B140"/>
        </row>
        <row r="141">
          <cell r="B141"/>
        </row>
        <row r="142">
          <cell r="B142"/>
        </row>
        <row r="143">
          <cell r="B143"/>
        </row>
        <row r="144">
          <cell r="B144"/>
        </row>
        <row r="145">
          <cell r="B145"/>
        </row>
        <row r="146">
          <cell r="B146"/>
        </row>
        <row r="147">
          <cell r="B147"/>
          <cell r="D147"/>
        </row>
        <row r="155">
          <cell r="B155" t="str">
            <v>SUBESTACIÓN</v>
          </cell>
          <cell r="C155"/>
          <cell r="D155" t="str">
            <v>Estado</v>
          </cell>
        </row>
        <row r="156">
          <cell r="B156" t="str">
            <v>Objetos extraños</v>
          </cell>
          <cell r="C156"/>
          <cell r="D156" t="str">
            <v>OK</v>
          </cell>
        </row>
        <row r="157">
          <cell r="B157" t="str">
            <v>Filtraciones de agua</v>
          </cell>
          <cell r="C157"/>
          <cell r="D157" t="str">
            <v>OK</v>
          </cell>
        </row>
        <row r="158">
          <cell r="B158" t="str">
            <v>Tableros eléctricos</v>
          </cell>
          <cell r="C158"/>
          <cell r="D158" t="str">
            <v>OK</v>
          </cell>
        </row>
        <row r="159">
          <cell r="B159" t="str">
            <v>Bancos de 
condensadores</v>
          </cell>
          <cell r="C159"/>
          <cell r="D159" t="str">
            <v>OK</v>
          </cell>
        </row>
        <row r="160">
          <cell r="D160"/>
        </row>
        <row r="161">
          <cell r="D161"/>
        </row>
        <row r="162">
          <cell r="D162"/>
        </row>
        <row r="163">
          <cell r="D163"/>
        </row>
        <row r="164">
          <cell r="D164"/>
        </row>
        <row r="165">
          <cell r="D165"/>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B193" t="str">
            <v>UPS</v>
          </cell>
          <cell r="C193"/>
          <cell r="D193" t="str">
            <v>Estado</v>
          </cell>
        </row>
        <row r="194">
          <cell r="B194" t="str">
            <v>Aire acondicionado dedicado</v>
          </cell>
          <cell r="C194"/>
          <cell r="D194" t="str">
            <v>OK</v>
          </cell>
        </row>
        <row r="195">
          <cell r="B195" t="str">
            <v>Estado de carga de baterías</v>
          </cell>
          <cell r="C195"/>
          <cell r="D195" t="str">
            <v>OK</v>
          </cell>
        </row>
        <row r="196">
          <cell r="C196"/>
          <cell r="D196"/>
        </row>
        <row r="197">
          <cell r="B197" t="str">
            <v>Comentarios:</v>
          </cell>
          <cell r="C197" t="str">
            <v>Retirar equipos fuera de servicio en sala de UPS.</v>
          </cell>
          <cell r="D197"/>
        </row>
        <row r="198">
          <cell r="C198"/>
          <cell r="D198"/>
        </row>
        <row r="199">
          <cell r="C199"/>
          <cell r="D199"/>
        </row>
        <row r="200">
          <cell r="C200"/>
          <cell r="D200"/>
        </row>
        <row r="201">
          <cell r="C201"/>
          <cell r="D201"/>
        </row>
        <row r="202">
          <cell r="C202"/>
          <cell r="D202"/>
        </row>
        <row r="203">
          <cell r="C203"/>
          <cell r="D203"/>
        </row>
        <row r="204">
          <cell r="C204"/>
          <cell r="D204"/>
        </row>
        <row r="205">
          <cell r="C205"/>
          <cell r="D205"/>
        </row>
        <row r="206">
          <cell r="C206"/>
          <cell r="D206"/>
        </row>
        <row r="207">
          <cell r="C207"/>
          <cell r="D207"/>
        </row>
        <row r="208">
          <cell r="C208"/>
          <cell r="D208"/>
        </row>
        <row r="209">
          <cell r="C209"/>
          <cell r="D209"/>
        </row>
        <row r="210">
          <cell r="C210"/>
          <cell r="D210"/>
        </row>
        <row r="211">
          <cell r="C211"/>
          <cell r="D211"/>
        </row>
        <row r="212">
          <cell r="C212"/>
          <cell r="D212"/>
        </row>
        <row r="213">
          <cell r="C213"/>
          <cell r="D213"/>
        </row>
        <row r="214">
          <cell r="C214"/>
          <cell r="D214"/>
        </row>
        <row r="215">
          <cell r="C215"/>
          <cell r="D215"/>
        </row>
        <row r="216">
          <cell r="C216"/>
          <cell r="D216"/>
        </row>
        <row r="217">
          <cell r="C217"/>
          <cell r="D217"/>
        </row>
        <row r="218">
          <cell r="C218"/>
          <cell r="D218"/>
        </row>
        <row r="219">
          <cell r="B219" t="str">
            <v>3   GAS</v>
          </cell>
          <cell r="C219"/>
          <cell r="D219"/>
        </row>
        <row r="221">
          <cell r="B221" t="str">
            <v>GAS</v>
          </cell>
          <cell r="C221"/>
          <cell r="D221" t="str">
            <v>Estado</v>
          </cell>
        </row>
        <row r="222">
          <cell r="B222" t="str">
            <v>Flexibles autorizados</v>
          </cell>
          <cell r="C222"/>
          <cell r="D222" t="str">
            <v>OK</v>
          </cell>
        </row>
        <row r="223">
          <cell r="B223" t="str">
            <v>Sistema de corte por pánico</v>
          </cell>
          <cell r="C223"/>
          <cell r="D223" t="str">
            <v>OK</v>
          </cell>
        </row>
        <row r="225">
          <cell r="B225" t="str">
            <v>Comentarios:</v>
          </cell>
          <cell r="C225" t="str">
            <v>Acometida principal de gas en patio trasero sin pintar.</v>
          </cell>
          <cell r="D225"/>
        </row>
        <row r="226">
          <cell r="B226"/>
        </row>
        <row r="227">
          <cell r="B227"/>
        </row>
        <row r="228">
          <cell r="B228"/>
        </row>
        <row r="229">
          <cell r="B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row>
        <row r="244">
          <cell r="B244"/>
        </row>
        <row r="245">
          <cell r="B245"/>
        </row>
        <row r="246">
          <cell r="B246"/>
        </row>
        <row r="247">
          <cell r="B247"/>
        </row>
        <row r="248">
          <cell r="B248"/>
        </row>
        <row r="249">
          <cell r="B249"/>
        </row>
        <row r="250">
          <cell r="B250"/>
        </row>
        <row r="251">
          <cell r="B251"/>
        </row>
        <row r="252">
          <cell r="B252"/>
        </row>
        <row r="253">
          <cell r="B253"/>
        </row>
        <row r="254">
          <cell r="B254"/>
        </row>
        <row r="255">
          <cell r="B255"/>
        </row>
        <row r="256">
          <cell r="B256"/>
        </row>
        <row r="257">
          <cell r="B257"/>
        </row>
        <row r="258">
          <cell r="B258"/>
        </row>
        <row r="259">
          <cell r="B259"/>
        </row>
        <row r="260">
          <cell r="B260"/>
        </row>
        <row r="261">
          <cell r="B261"/>
        </row>
        <row r="262">
          <cell r="B262"/>
        </row>
        <row r="263">
          <cell r="B263"/>
        </row>
        <row r="264">
          <cell r="B264"/>
        </row>
        <row r="265">
          <cell r="B265"/>
        </row>
        <row r="266">
          <cell r="B266"/>
        </row>
        <row r="267">
          <cell r="B267"/>
        </row>
        <row r="268">
          <cell r="B268"/>
        </row>
        <row r="269">
          <cell r="B269"/>
        </row>
        <row r="270">
          <cell r="B270"/>
        </row>
        <row r="271">
          <cell r="B271"/>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6PXA3PNSIC2VELDO47YHUOLCGR">
      <xxl21:absoluteUrl r:id="rId2"/>
    </xxl21:alternateUrls>
    <sheetNames>
      <sheetName val="Informe"/>
      <sheetName val="ROOFTOP"/>
      <sheetName val="MINISPLITS"/>
    </sheetNames>
    <sheetDataSet>
      <sheetData sheetId="0">
        <row r="5">
          <cell r="B5" t="str">
            <v>SUCURSAL:</v>
          </cell>
          <cell r="C5" t="str">
            <v>DISCO 19</v>
          </cell>
        </row>
        <row r="7">
          <cell r="B7" t="str">
            <v>1   AIRE ACONDICIONADO</v>
          </cell>
          <cell r="C7"/>
          <cell r="D7"/>
        </row>
        <row r="9">
          <cell r="B9" t="str">
            <v>CD/CI
Sucursal</v>
          </cell>
          <cell r="C9">
            <v>0.91379310344827591</v>
          </cell>
        </row>
        <row r="11">
          <cell r="B11" t="str">
            <v>Código</v>
          </cell>
          <cell r="C11"/>
          <cell r="D11" t="str">
            <v>Estado del equipo</v>
          </cell>
        </row>
        <row r="12">
          <cell r="B12" t="str">
            <v>Equipo</v>
          </cell>
          <cell r="C12" t="str">
            <v>Intercambiadores</v>
          </cell>
          <cell r="D12" t="str">
            <v>Gabinete</v>
          </cell>
        </row>
        <row r="13">
          <cell r="B13" t="str">
            <v>D19_R_01</v>
          </cell>
          <cell r="C13">
            <v>2</v>
          </cell>
          <cell r="D13">
            <v>2</v>
          </cell>
        </row>
        <row r="14">
          <cell r="B14" t="str">
            <v>D19_R_02</v>
          </cell>
          <cell r="C14">
            <v>2</v>
          </cell>
          <cell r="D14">
            <v>2</v>
          </cell>
        </row>
        <row r="15">
          <cell r="B15" t="str">
            <v>D19_R_03</v>
          </cell>
          <cell r="C15">
            <v>2</v>
          </cell>
          <cell r="D15">
            <v>2</v>
          </cell>
        </row>
        <row r="16">
          <cell r="B16" t="str">
            <v>D19_R_04</v>
          </cell>
          <cell r="C16">
            <v>2</v>
          </cell>
          <cell r="D16">
            <v>2</v>
          </cell>
        </row>
        <row r="17">
          <cell r="B17" t="str">
            <v>D19_R_05</v>
          </cell>
          <cell r="C17">
            <v>2</v>
          </cell>
          <cell r="D17">
            <v>2</v>
          </cell>
        </row>
        <row r="18">
          <cell r="B18" t="str">
            <v>D19_R_06</v>
          </cell>
          <cell r="C18">
            <v>2</v>
          </cell>
          <cell r="D18">
            <v>2</v>
          </cell>
        </row>
        <row r="19">
          <cell r="B19"/>
          <cell r="C19"/>
          <cell r="D19"/>
        </row>
        <row r="20">
          <cell r="B20" t="str">
            <v>Comentarios:</v>
          </cell>
          <cell r="C20" t="str">
            <v>R_01</v>
          </cell>
          <cell r="D20" t="str">
            <v>Filtros de aire sucios. Limpiar.</v>
          </cell>
        </row>
        <row r="21">
          <cell r="B21" t="str">
            <v>R_03</v>
          </cell>
          <cell r="C21" t="str">
            <v>Falta un forzador de aire.</v>
          </cell>
          <cell r="D21"/>
        </row>
        <row r="23">
          <cell r="B23"/>
        </row>
        <row r="24">
          <cell r="D24"/>
        </row>
        <row r="25">
          <cell r="B25"/>
          <cell r="C25"/>
        </row>
        <row r="26">
          <cell r="B26"/>
          <cell r="C26"/>
        </row>
        <row r="27">
          <cell r="B27"/>
          <cell r="D27"/>
        </row>
        <row r="28">
          <cell r="B28"/>
          <cell r="D28"/>
        </row>
        <row r="29">
          <cell r="B29"/>
          <cell r="D29"/>
        </row>
        <row r="30">
          <cell r="B30"/>
          <cell r="D30"/>
        </row>
        <row r="31">
          <cell r="B31"/>
          <cell r="D31"/>
        </row>
        <row r="32">
          <cell r="B32"/>
          <cell r="D32"/>
        </row>
        <row r="33">
          <cell r="B33"/>
          <cell r="D33"/>
        </row>
        <row r="34">
          <cell r="B34"/>
          <cell r="D34"/>
        </row>
        <row r="35">
          <cell r="B35"/>
          <cell r="D35"/>
        </row>
        <row r="36">
          <cell r="B36"/>
          <cell r="D36"/>
        </row>
        <row r="37">
          <cell r="B37"/>
          <cell r="D37"/>
        </row>
        <row r="38">
          <cell r="B38"/>
          <cell r="D38"/>
        </row>
        <row r="39">
          <cell r="B39"/>
          <cell r="D39"/>
        </row>
        <row r="40">
          <cell r="B40"/>
          <cell r="D40"/>
        </row>
        <row r="41">
          <cell r="B41"/>
          <cell r="D41"/>
        </row>
        <row r="42">
          <cell r="B42"/>
          <cell r="D42"/>
        </row>
        <row r="43">
          <cell r="B43"/>
          <cell r="D43"/>
        </row>
        <row r="44">
          <cell r="B44"/>
          <cell r="D44"/>
        </row>
        <row r="45">
          <cell r="B45"/>
          <cell r="D45"/>
        </row>
        <row r="46">
          <cell r="B46"/>
          <cell r="D46"/>
        </row>
        <row r="47">
          <cell r="B47"/>
          <cell r="D47"/>
        </row>
        <row r="48">
          <cell r="B48"/>
          <cell r="D48"/>
        </row>
        <row r="49">
          <cell r="B49"/>
          <cell r="D49"/>
        </row>
        <row r="50">
          <cell r="B50"/>
          <cell r="D50"/>
        </row>
        <row r="51">
          <cell r="B51"/>
          <cell r="D51"/>
        </row>
        <row r="52">
          <cell r="B52"/>
          <cell r="D5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B110" t="str">
            <v>Código</v>
          </cell>
          <cell r="C110" t="str">
            <v>Estado</v>
          </cell>
          <cell r="D110" t="str">
            <v>Mantenimiento</v>
          </cell>
        </row>
        <row r="111">
          <cell r="B111" t="str">
            <v>Generador</v>
          </cell>
          <cell r="C111" t="str">
            <v>Generador</v>
          </cell>
          <cell r="D111" t="str">
            <v>Proveedor</v>
          </cell>
        </row>
        <row r="112">
          <cell r="B112" t="str">
            <v>D19_G_01</v>
          </cell>
          <cell r="C112">
            <v>3</v>
          </cell>
          <cell r="D112">
            <v>3</v>
          </cell>
        </row>
        <row r="113">
          <cell r="B113"/>
          <cell r="C113"/>
          <cell r="D113"/>
        </row>
        <row r="114">
          <cell r="B114" t="str">
            <v>GENERADOR</v>
          </cell>
          <cell r="C114"/>
          <cell r="D114" t="str">
            <v>Estado</v>
          </cell>
        </row>
        <row r="115">
          <cell r="B115" t="str">
            <v>Tanque de Combustible</v>
          </cell>
          <cell r="C115"/>
          <cell r="D115">
            <v>0.6</v>
          </cell>
        </row>
        <row r="116">
          <cell r="B116" t="str">
            <v>Batería</v>
          </cell>
          <cell r="C116"/>
          <cell r="D116" t="str">
            <v>OK</v>
          </cell>
        </row>
        <row r="117">
          <cell r="B117" t="str">
            <v>Liquido refrigerante</v>
          </cell>
          <cell r="C117"/>
          <cell r="D117" t="str">
            <v>NO OK</v>
          </cell>
        </row>
        <row r="118">
          <cell r="B118" t="str">
            <v>Aceite</v>
          </cell>
          <cell r="C118"/>
          <cell r="D118" t="str">
            <v>OK</v>
          </cell>
        </row>
        <row r="119">
          <cell r="D119"/>
        </row>
        <row r="122">
          <cell r="B122"/>
          <cell r="C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B149" t="str">
            <v>SUBESTACIÓN</v>
          </cell>
          <cell r="C149"/>
          <cell r="D149" t="str">
            <v>Estado</v>
          </cell>
        </row>
        <row r="150">
          <cell r="B150" t="str">
            <v>Objetos extraños</v>
          </cell>
          <cell r="C150"/>
          <cell r="D150" t="str">
            <v>NO OK</v>
          </cell>
        </row>
        <row r="151">
          <cell r="B151" t="str">
            <v>Filtraciones de agua</v>
          </cell>
          <cell r="C151"/>
          <cell r="D151" t="str">
            <v>OK</v>
          </cell>
        </row>
        <row r="152">
          <cell r="B152" t="str">
            <v>Tableros eléctricos</v>
          </cell>
          <cell r="C152"/>
          <cell r="D152" t="str">
            <v>OK</v>
          </cell>
        </row>
        <row r="153">
          <cell r="B153" t="str">
            <v>Bancos de 
condensadores</v>
          </cell>
          <cell r="C153"/>
          <cell r="D153" t="str">
            <v>OK</v>
          </cell>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B220" t="str">
            <v>UPS</v>
          </cell>
          <cell r="C220"/>
          <cell r="D220" t="str">
            <v>Estado</v>
          </cell>
        </row>
        <row r="221">
          <cell r="B221" t="str">
            <v>UPS en linea</v>
          </cell>
          <cell r="C221"/>
          <cell r="D221" t="str">
            <v>OK</v>
          </cell>
        </row>
        <row r="222">
          <cell r="B222" t="str">
            <v>Aire acondicionado dedicado</v>
          </cell>
          <cell r="C222"/>
          <cell r="D222" t="str">
            <v>OK</v>
          </cell>
        </row>
        <row r="223">
          <cell r="B223" t="str">
            <v>Estado de carga de baterías</v>
          </cell>
          <cell r="C223"/>
          <cell r="D223" t="str">
            <v>OK</v>
          </cell>
        </row>
        <row r="224">
          <cell r="C224"/>
          <cell r="D224"/>
        </row>
        <row r="225">
          <cell r="B225" t="str">
            <v>Comentarios:</v>
          </cell>
          <cell r="C225" t="str">
            <v xml:space="preserve">UPS 1 / UPS 2 / UPS 3 </v>
          </cell>
          <cell r="D225" t="str">
            <v>Limpiar rejillas frontales</v>
          </cell>
        </row>
        <row r="226">
          <cell r="B226"/>
          <cell r="C226" t="str">
            <v xml:space="preserve">UPS 1 </v>
          </cell>
          <cell r="D226" t="str">
            <v>Falta tapa de rejillas.</v>
          </cell>
        </row>
        <row r="227">
          <cell r="B227"/>
          <cell r="C227" t="str">
            <v>UPS 3</v>
          </cell>
          <cell r="D227" t="str">
            <v>Botón de select roto.</v>
          </cell>
        </row>
        <row r="228">
          <cell r="C228"/>
          <cell r="D228"/>
        </row>
        <row r="229">
          <cell r="C229"/>
          <cell r="D229"/>
        </row>
        <row r="230">
          <cell r="B230"/>
          <cell r="D230"/>
        </row>
        <row r="231">
          <cell r="B231"/>
          <cell r="D231"/>
        </row>
        <row r="232">
          <cell r="B232"/>
          <cell r="D232"/>
        </row>
        <row r="233">
          <cell r="B233"/>
          <cell r="D233"/>
        </row>
        <row r="234">
          <cell r="B234"/>
          <cell r="D234"/>
        </row>
        <row r="235">
          <cell r="B235"/>
          <cell r="D235"/>
        </row>
        <row r="236">
          <cell r="B236"/>
          <cell r="D236"/>
        </row>
        <row r="237">
          <cell r="B237"/>
          <cell r="D237"/>
        </row>
        <row r="238">
          <cell r="B238"/>
          <cell r="D238"/>
        </row>
        <row r="239">
          <cell r="B239"/>
          <cell r="D239"/>
        </row>
        <row r="240">
          <cell r="B240"/>
          <cell r="D240"/>
        </row>
        <row r="241">
          <cell r="B241"/>
          <cell r="D241"/>
        </row>
        <row r="242">
          <cell r="B242"/>
          <cell r="D242"/>
        </row>
        <row r="243">
          <cell r="B243"/>
          <cell r="D243"/>
        </row>
        <row r="244">
          <cell r="B244"/>
          <cell r="D244"/>
        </row>
        <row r="245">
          <cell r="B245"/>
          <cell r="D245"/>
        </row>
        <row r="246">
          <cell r="B246"/>
          <cell r="D246"/>
        </row>
        <row r="247">
          <cell r="B247"/>
          <cell r="D247"/>
        </row>
        <row r="248">
          <cell r="B248"/>
          <cell r="D248"/>
        </row>
        <row r="249">
          <cell r="B249"/>
          <cell r="D249"/>
        </row>
        <row r="250">
          <cell r="B250"/>
          <cell r="D250"/>
        </row>
        <row r="251">
          <cell r="B251"/>
          <cell r="D251"/>
        </row>
        <row r="252">
          <cell r="B252"/>
          <cell r="D252"/>
        </row>
        <row r="253">
          <cell r="B253"/>
          <cell r="D253"/>
        </row>
        <row r="254">
          <cell r="B254"/>
          <cell r="D254"/>
        </row>
        <row r="255">
          <cell r="B255"/>
          <cell r="D255"/>
        </row>
        <row r="256">
          <cell r="B256"/>
          <cell r="D256"/>
        </row>
        <row r="257">
          <cell r="B257"/>
          <cell r="D257"/>
        </row>
        <row r="258">
          <cell r="B258"/>
          <cell r="D258"/>
        </row>
        <row r="259">
          <cell r="B259"/>
          <cell r="D259"/>
        </row>
        <row r="260">
          <cell r="B260"/>
          <cell r="D260"/>
        </row>
        <row r="261">
          <cell r="B261"/>
          <cell r="D261"/>
        </row>
        <row r="262">
          <cell r="B262" t="str">
            <v>3   GAS</v>
          </cell>
          <cell r="C262"/>
          <cell r="D262"/>
        </row>
        <row r="264">
          <cell r="B264" t="str">
            <v>GAS</v>
          </cell>
          <cell r="C264"/>
          <cell r="D264" t="str">
            <v>Estado</v>
          </cell>
        </row>
        <row r="265">
          <cell r="B265" t="str">
            <v>Flexibles autorizados</v>
          </cell>
          <cell r="C265"/>
          <cell r="D265" t="str">
            <v>OK</v>
          </cell>
        </row>
        <row r="266">
          <cell r="B266" t="str">
            <v>Sistema de corte por pánico</v>
          </cell>
          <cell r="C266"/>
          <cell r="D266" t="str">
            <v>OK</v>
          </cell>
        </row>
        <row r="268">
          <cell r="B268" t="str">
            <v>Comentarios:</v>
          </cell>
          <cell r="C268" t="str">
            <v>Puerta de nicho de garrafas salida.</v>
          </cell>
          <cell r="D268"/>
        </row>
        <row r="269">
          <cell r="B269"/>
          <cell r="C269" t="str">
            <v>No se puede acceder a la llave de paso.</v>
          </cell>
          <cell r="D269"/>
        </row>
      </sheetData>
      <sheetData sheetId="1"/>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67JIJXH7MTINH3QIEFDLBJ4Y4O">
      <xxl21:absoluteUrl r:id="rId2"/>
    </xxl21:alternateUrls>
    <sheetNames>
      <sheetName val="Informe"/>
      <sheetName val="ROOFTOP"/>
      <sheetName val="SPLITS"/>
      <sheetName val="MINISPLITS"/>
    </sheetNames>
    <sheetDataSet>
      <sheetData sheetId="0">
        <row r="5">
          <cell r="B5" t="str">
            <v>SUCURSAL:</v>
          </cell>
          <cell r="C5" t="str">
            <v>DISCO 20</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D20_S_01</v>
          </cell>
          <cell r="C13">
            <v>2</v>
          </cell>
          <cell r="D13">
            <v>3</v>
          </cell>
        </row>
        <row r="14">
          <cell r="B14" t="str">
            <v>D20_S_02</v>
          </cell>
          <cell r="C14">
            <v>2</v>
          </cell>
          <cell r="D14">
            <v>3</v>
          </cell>
        </row>
        <row r="15">
          <cell r="B15" t="str">
            <v>D20_S_03</v>
          </cell>
          <cell r="C15">
            <v>2</v>
          </cell>
          <cell r="D15">
            <v>3</v>
          </cell>
        </row>
        <row r="16">
          <cell r="B16" t="str">
            <v>D20_S_04</v>
          </cell>
          <cell r="C16">
            <v>2</v>
          </cell>
          <cell r="D16">
            <v>2</v>
          </cell>
        </row>
        <row r="17">
          <cell r="B17" t="str">
            <v>D20_S_05</v>
          </cell>
          <cell r="C17">
            <v>2</v>
          </cell>
          <cell r="D17">
            <v>3</v>
          </cell>
        </row>
        <row r="18">
          <cell r="B18" t="str">
            <v>D20_S_06</v>
          </cell>
          <cell r="C18">
            <v>2</v>
          </cell>
          <cell r="D18">
            <v>2</v>
          </cell>
        </row>
        <row r="19">
          <cell r="B19" t="str">
            <v>D20_S_07</v>
          </cell>
          <cell r="C19">
            <v>2</v>
          </cell>
          <cell r="D19">
            <v>2</v>
          </cell>
        </row>
        <row r="20">
          <cell r="B20" t="str">
            <v>D20_R_01</v>
          </cell>
          <cell r="C20">
            <v>2</v>
          </cell>
          <cell r="D20">
            <v>2</v>
          </cell>
        </row>
        <row r="21">
          <cell r="D21"/>
        </row>
        <row r="22">
          <cell r="B22" t="str">
            <v>Comentarios:</v>
          </cell>
          <cell r="C22" t="str">
            <v>Rejillas de extracción de aire muy sucias. Limpiar.</v>
          </cell>
          <cell r="D22"/>
        </row>
        <row r="23">
          <cell r="B23" t="str">
            <v>S_02/S_03</v>
          </cell>
          <cell r="C23" t="str">
            <v>No se encontró llave de candado para acceso a unidades.</v>
          </cell>
          <cell r="D23"/>
        </row>
        <row r="24">
          <cell r="B24" t="str">
            <v>S_04/S_05/S_06</v>
          </cell>
          <cell r="C24" t="str">
            <v>Realizar limpieza a intercambiadores exteriores.</v>
          </cell>
          <cell r="D24"/>
        </row>
        <row r="25">
          <cell r="B25" t="str">
            <v>S_05</v>
          </cell>
          <cell r="C25" t="str">
            <v>Conexión a ducto congelada. Controlar.</v>
          </cell>
          <cell r="D25"/>
        </row>
        <row r="26">
          <cell r="B26" t="str">
            <v>S_06</v>
          </cell>
          <cell r="C26" t="str">
            <v>Intercambiador exterior muy sucio. Limpiar.</v>
          </cell>
          <cell r="D26"/>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103">
          <cell r="B103" t="str">
            <v>2   ELÉCTRICA</v>
          </cell>
          <cell r="C103"/>
          <cell r="D103"/>
        </row>
        <row r="105">
          <cell r="B105" t="str">
            <v>Código</v>
          </cell>
          <cell r="C105" t="str">
            <v>Estado</v>
          </cell>
          <cell r="D105" t="str">
            <v>Mantenimiento</v>
          </cell>
        </row>
        <row r="106">
          <cell r="B106" t="str">
            <v>Generador</v>
          </cell>
          <cell r="C106" t="str">
            <v>Generador</v>
          </cell>
          <cell r="D106" t="str">
            <v>Proveedor</v>
          </cell>
        </row>
        <row r="107">
          <cell r="B107" t="str">
            <v>D20_G_01</v>
          </cell>
          <cell r="C107">
            <v>2</v>
          </cell>
          <cell r="D107">
            <v>1</v>
          </cell>
        </row>
        <row r="109">
          <cell r="B109" t="str">
            <v>GENERADOR</v>
          </cell>
          <cell r="C109"/>
          <cell r="D109" t="str">
            <v>Estado</v>
          </cell>
        </row>
        <row r="110">
          <cell r="B110" t="str">
            <v>Tanque de Combustible</v>
          </cell>
          <cell r="C110"/>
          <cell r="D110">
            <v>0.6</v>
          </cell>
        </row>
        <row r="111">
          <cell r="B111" t="str">
            <v>Batería</v>
          </cell>
          <cell r="C111"/>
          <cell r="D111" t="str">
            <v>OK</v>
          </cell>
        </row>
        <row r="112">
          <cell r="B112" t="str">
            <v>Liquido Refrigerante</v>
          </cell>
          <cell r="C112"/>
          <cell r="D112" t="str">
            <v>OK</v>
          </cell>
        </row>
        <row r="113">
          <cell r="B113" t="str">
            <v>Lubricante</v>
          </cell>
          <cell r="C113"/>
          <cell r="D113" t="str">
            <v>OK</v>
          </cell>
        </row>
        <row r="114">
          <cell r="D114"/>
        </row>
        <row r="115">
          <cell r="B115" t="str">
            <v>Comentarios:</v>
          </cell>
          <cell r="C115"/>
          <cell r="D115"/>
        </row>
        <row r="173">
          <cell r="B173" t="str">
            <v>SUBESTACIÓN</v>
          </cell>
          <cell r="C173"/>
          <cell r="D173" t="str">
            <v>Estado</v>
          </cell>
        </row>
        <row r="174">
          <cell r="B174" t="str">
            <v>Objetos extraños</v>
          </cell>
          <cell r="C174"/>
          <cell r="D174" t="str">
            <v>OK</v>
          </cell>
        </row>
        <row r="175">
          <cell r="B175" t="str">
            <v>Filtraciones de agua</v>
          </cell>
          <cell r="C175"/>
          <cell r="D175" t="str">
            <v>OK</v>
          </cell>
        </row>
        <row r="176">
          <cell r="B176" t="str">
            <v>Tableros eléctricos</v>
          </cell>
          <cell r="C176"/>
          <cell r="D176" t="str">
            <v>OK</v>
          </cell>
        </row>
        <row r="177">
          <cell r="B177" t="str">
            <v>Bancos de _x000D_condensadores</v>
          </cell>
          <cell r="C177"/>
          <cell r="D177" t="str">
            <v>NO OK</v>
          </cell>
        </row>
        <row r="178">
          <cell r="D178"/>
        </row>
        <row r="179">
          <cell r="B179" t="str">
            <v>Comentarios:</v>
          </cell>
          <cell r="C179" t="str">
            <v>Alarmado "OUT OF BANK". Continúa.</v>
          </cell>
          <cell r="D179"/>
        </row>
        <row r="180">
          <cell r="B180"/>
          <cell r="C180" t="str">
            <v>Interruptor ABB en tablero display de potencia acometida superior izquierda a 61°C. Verificar.</v>
          </cell>
          <cell r="D180"/>
        </row>
        <row r="181">
          <cell r="B181"/>
          <cell r="C181" t="str">
            <v>Interruptor ABB C32, segundo del lado izquierdo, en tablero display de potencia a 52°C. Verificar.</v>
          </cell>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23">
          <cell r="B223" t="str">
            <v>UPS</v>
          </cell>
          <cell r="C223"/>
          <cell r="D223" t="str">
            <v>Estado</v>
          </cell>
        </row>
        <row r="224">
          <cell r="B224" t="str">
            <v>UPS en línea</v>
          </cell>
          <cell r="C224"/>
          <cell r="D224" t="str">
            <v>OK</v>
          </cell>
        </row>
        <row r="225">
          <cell r="B225" t="str">
            <v>Aire acondicionado dedicado</v>
          </cell>
          <cell r="C225"/>
          <cell r="D225" t="str">
            <v>OK</v>
          </cell>
        </row>
        <row r="226">
          <cell r="B226" t="str">
            <v>Estado de carga de baterías</v>
          </cell>
          <cell r="C226"/>
          <cell r="D226" t="str">
            <v>OK</v>
          </cell>
        </row>
        <row r="227">
          <cell r="C227"/>
          <cell r="D227"/>
        </row>
        <row r="228">
          <cell r="B228"/>
          <cell r="C228"/>
        </row>
        <row r="229">
          <cell r="B229"/>
          <cell r="C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row>
        <row r="244">
          <cell r="B244"/>
        </row>
        <row r="245">
          <cell r="B245"/>
        </row>
        <row r="246">
          <cell r="B246"/>
        </row>
        <row r="247">
          <cell r="B247"/>
        </row>
        <row r="248">
          <cell r="B248"/>
        </row>
        <row r="249">
          <cell r="B249"/>
        </row>
        <row r="250">
          <cell r="B250"/>
        </row>
        <row r="251">
          <cell r="B251" t="str">
            <v>3   GAS</v>
          </cell>
          <cell r="C251"/>
          <cell r="D251"/>
        </row>
        <row r="253">
          <cell r="B253" t="str">
            <v>GAS</v>
          </cell>
          <cell r="C253"/>
          <cell r="D253" t="str">
            <v>Estado</v>
          </cell>
        </row>
        <row r="254">
          <cell r="B254" t="str">
            <v>Flexibles autorizados</v>
          </cell>
          <cell r="C254"/>
          <cell r="D254" t="str">
            <v>OK</v>
          </cell>
        </row>
        <row r="255">
          <cell r="B255" t="str">
            <v>Sistema de corte por pánico</v>
          </cell>
          <cell r="C255"/>
          <cell r="D255" t="str">
            <v>OK</v>
          </cell>
        </row>
        <row r="256">
          <cell r="C256"/>
          <cell r="D256"/>
        </row>
        <row r="257">
          <cell r="B257" t="str">
            <v>Comentarios:</v>
          </cell>
          <cell r="C257" t="str">
            <v>Garrafas acopiadas dentro de caddies en zona de recepción de mercaderia. Generar nicho.</v>
          </cell>
          <cell r="D257"/>
        </row>
        <row r="258">
          <cell r="B258"/>
          <cell r="C258"/>
          <cell r="D258"/>
        </row>
        <row r="259">
          <cell r="B259"/>
          <cell r="C259"/>
          <cell r="D259"/>
        </row>
        <row r="260">
          <cell r="B260"/>
          <cell r="C260"/>
          <cell r="D260"/>
        </row>
        <row r="261">
          <cell r="B261"/>
          <cell r="C261"/>
          <cell r="D261"/>
        </row>
        <row r="262">
          <cell r="B262"/>
          <cell r="C262"/>
          <cell r="D262"/>
        </row>
        <row r="263">
          <cell r="B263"/>
          <cell r="C263"/>
          <cell r="D263"/>
        </row>
        <row r="264">
          <cell r="B264"/>
          <cell r="C264"/>
          <cell r="D264"/>
        </row>
        <row r="265">
          <cell r="B265"/>
          <cell r="C265"/>
          <cell r="D265"/>
        </row>
        <row r="266">
          <cell r="B266"/>
          <cell r="C266"/>
          <cell r="D266"/>
        </row>
        <row r="267">
          <cell r="B267"/>
          <cell r="C267"/>
          <cell r="D267"/>
        </row>
        <row r="268">
          <cell r="B268"/>
          <cell r="C268"/>
          <cell r="D268"/>
        </row>
        <row r="269">
          <cell r="B269"/>
          <cell r="C269"/>
          <cell r="D269"/>
        </row>
        <row r="270">
          <cell r="B270"/>
          <cell r="C270"/>
          <cell r="D270"/>
        </row>
        <row r="271">
          <cell r="B271"/>
          <cell r="C271"/>
          <cell r="D271"/>
        </row>
        <row r="272">
          <cell r="B272"/>
          <cell r="C272"/>
          <cell r="D272"/>
        </row>
        <row r="273">
          <cell r="B273"/>
          <cell r="C273"/>
          <cell r="D273"/>
        </row>
        <row r="274">
          <cell r="B274"/>
          <cell r="C274"/>
          <cell r="D274"/>
        </row>
        <row r="275">
          <cell r="B275"/>
          <cell r="C275"/>
          <cell r="D275"/>
        </row>
        <row r="276">
          <cell r="B276"/>
          <cell r="C276"/>
          <cell r="D276"/>
        </row>
        <row r="277">
          <cell r="B277"/>
          <cell r="C277"/>
          <cell r="D277"/>
        </row>
        <row r="278">
          <cell r="B278"/>
          <cell r="C278"/>
          <cell r="D278"/>
        </row>
        <row r="279">
          <cell r="B279"/>
          <cell r="C279"/>
          <cell r="D279"/>
        </row>
        <row r="280">
          <cell r="B280"/>
          <cell r="C280"/>
          <cell r="D280"/>
        </row>
        <row r="281">
          <cell r="B281"/>
          <cell r="C281"/>
          <cell r="D281"/>
        </row>
        <row r="282">
          <cell r="B282"/>
          <cell r="C282"/>
          <cell r="D282"/>
        </row>
        <row r="283">
          <cell r="B283"/>
          <cell r="C283"/>
          <cell r="D283"/>
        </row>
        <row r="284">
          <cell r="B284"/>
          <cell r="C284"/>
          <cell r="D284"/>
        </row>
        <row r="285">
          <cell r="B285"/>
          <cell r="C285"/>
          <cell r="D285"/>
        </row>
        <row r="286">
          <cell r="B286"/>
          <cell r="C286"/>
          <cell r="D286"/>
        </row>
        <row r="287">
          <cell r="B287"/>
          <cell r="C287"/>
          <cell r="D287"/>
        </row>
        <row r="288">
          <cell r="B288"/>
          <cell r="C288"/>
          <cell r="D288"/>
        </row>
        <row r="289">
          <cell r="B289"/>
          <cell r="C289"/>
          <cell r="D289"/>
        </row>
        <row r="290">
          <cell r="B290"/>
          <cell r="C290"/>
          <cell r="D290"/>
        </row>
        <row r="291">
          <cell r="B291"/>
          <cell r="C291"/>
          <cell r="D291"/>
        </row>
        <row r="292">
          <cell r="B292"/>
          <cell r="C292"/>
          <cell r="D292"/>
        </row>
        <row r="293">
          <cell r="B293"/>
          <cell r="C293"/>
          <cell r="D293"/>
        </row>
        <row r="294">
          <cell r="B294"/>
          <cell r="C294"/>
          <cell r="D294"/>
        </row>
        <row r="295">
          <cell r="B295"/>
          <cell r="C295"/>
          <cell r="D295"/>
        </row>
        <row r="296">
          <cell r="B296"/>
          <cell r="C296"/>
          <cell r="D296"/>
        </row>
        <row r="297">
          <cell r="B297"/>
          <cell r="C297"/>
          <cell r="D297"/>
        </row>
        <row r="298">
          <cell r="B298"/>
          <cell r="C298"/>
          <cell r="D298"/>
        </row>
        <row r="299">
          <cell r="B299"/>
          <cell r="C299"/>
          <cell r="D299"/>
        </row>
        <row r="300">
          <cell r="B300"/>
          <cell r="C300"/>
          <cell r="D300"/>
        </row>
      </sheetData>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7SBC3EUUY75BYP4YVFRLWITOI">
      <xxl21:absoluteUrl r:id="rId2"/>
    </xxl21:alternateUrls>
    <sheetNames>
      <sheetName val="Informe"/>
      <sheetName val="ROOFTOP"/>
      <sheetName val="MINISPLITS"/>
    </sheetNames>
    <sheetDataSet>
      <sheetData sheetId="0">
        <row r="5">
          <cell r="B5" t="str">
            <v>SUCURSAL:</v>
          </cell>
          <cell r="C5" t="str">
            <v>DISCO 21</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D21_R_01</v>
          </cell>
          <cell r="C13">
            <v>2</v>
          </cell>
          <cell r="D13">
            <v>2</v>
          </cell>
        </row>
        <row r="14">
          <cell r="B14" t="str">
            <v>D21_R_02</v>
          </cell>
          <cell r="C14">
            <v>2</v>
          </cell>
          <cell r="D14">
            <v>2</v>
          </cell>
        </row>
        <row r="15">
          <cell r="B15" t="str">
            <v>D21_R_03</v>
          </cell>
          <cell r="C15">
            <v>2</v>
          </cell>
          <cell r="D15">
            <v>2</v>
          </cell>
        </row>
        <row r="16">
          <cell r="B16" t="str">
            <v>D21_R_04</v>
          </cell>
          <cell r="C16">
            <v>1</v>
          </cell>
          <cell r="D16">
            <v>3</v>
          </cell>
        </row>
        <row r="17">
          <cell r="B17"/>
          <cell r="D17"/>
        </row>
        <row r="18">
          <cell r="B18" t="str">
            <v>Comentarios:</v>
          </cell>
          <cell r="C18"/>
          <cell r="D18"/>
        </row>
        <row r="19">
          <cell r="B19" t="str">
            <v>R_04</v>
          </cell>
          <cell r="C19" t="str">
            <v>Intercambiador exterior sucio. Limpiar.</v>
          </cell>
          <cell r="D19"/>
        </row>
        <row r="20">
          <cell r="B20" t="str">
            <v>R_03</v>
          </cell>
          <cell r="C20" t="str">
            <v>Puerta de acceso a condensadora no puede abrirse debido a escalera de plataforma, continua.</v>
          </cell>
          <cell r="D20"/>
        </row>
        <row r="21">
          <cell r="B21" t="str">
            <v>R_03</v>
          </cell>
          <cell r="C21" t="str">
            <v>Intercambiadores interior y exterior desgastados.</v>
          </cell>
          <cell r="D21"/>
        </row>
        <row r="22">
          <cell r="B22" t="str">
            <v>R_03</v>
          </cell>
          <cell r="C22" t="str">
            <v>Equipos desagotan directo a cubierta de chapa.</v>
          </cell>
          <cell r="D22"/>
        </row>
        <row r="23">
          <cell r="B23" t="str">
            <v>R_01</v>
          </cell>
          <cell r="C23" t="str">
            <v>Desague zafado.</v>
          </cell>
          <cell r="D23"/>
        </row>
        <row r="25">
          <cell r="B25"/>
        </row>
        <row r="97">
          <cell r="B97" t="str">
            <v>2   ELÉCTRICA</v>
          </cell>
          <cell r="C97"/>
          <cell r="D97"/>
        </row>
        <row r="99">
          <cell r="B99" t="str">
            <v>Código</v>
          </cell>
          <cell r="C99" t="str">
            <v>Estado</v>
          </cell>
          <cell r="D99" t="str">
            <v>Mantenimiento</v>
          </cell>
        </row>
        <row r="100">
          <cell r="B100" t="str">
            <v>Generador</v>
          </cell>
          <cell r="C100" t="str">
            <v>Generador</v>
          </cell>
          <cell r="D100" t="str">
            <v>Proveedor</v>
          </cell>
        </row>
        <row r="101">
          <cell r="B101" t="str">
            <v>D21_G_01</v>
          </cell>
          <cell r="C101">
            <v>3</v>
          </cell>
          <cell r="D101">
            <v>3</v>
          </cell>
        </row>
        <row r="102">
          <cell r="B102"/>
          <cell r="C102"/>
          <cell r="D102"/>
        </row>
        <row r="103">
          <cell r="B103" t="str">
            <v>GENERADOR</v>
          </cell>
          <cell r="C103"/>
          <cell r="D103" t="str">
            <v>Estado</v>
          </cell>
        </row>
        <row r="104">
          <cell r="B104" t="str">
            <v>Tanque de Combustible</v>
          </cell>
          <cell r="C104"/>
          <cell r="D104">
            <v>0.8</v>
          </cell>
        </row>
        <row r="105">
          <cell r="B105" t="str">
            <v>Batería</v>
          </cell>
          <cell r="C105"/>
          <cell r="D105" t="str">
            <v>OK</v>
          </cell>
        </row>
        <row r="106">
          <cell r="B106" t="str">
            <v xml:space="preserve">Liquido Refrigerante </v>
          </cell>
          <cell r="C106"/>
          <cell r="D106" t="str">
            <v>OK</v>
          </cell>
        </row>
        <row r="107">
          <cell r="B107" t="str">
            <v>Lubricante</v>
          </cell>
          <cell r="C107"/>
          <cell r="D107" t="str">
            <v>OK</v>
          </cell>
        </row>
        <row r="108">
          <cell r="D108"/>
        </row>
        <row r="136">
          <cell r="B136" t="str">
            <v>SUBESTACIÓN</v>
          </cell>
          <cell r="C136"/>
          <cell r="D136" t="str">
            <v>Estado</v>
          </cell>
        </row>
        <row r="137">
          <cell r="B137" t="str">
            <v>Objetos extraños</v>
          </cell>
          <cell r="C137"/>
          <cell r="D137" t="str">
            <v>OK</v>
          </cell>
        </row>
        <row r="138">
          <cell r="B138" t="str">
            <v>Filtraciones de agua</v>
          </cell>
          <cell r="C138"/>
          <cell r="D138" t="str">
            <v>OK</v>
          </cell>
        </row>
        <row r="139">
          <cell r="B139" t="str">
            <v>Tableros eléctricos</v>
          </cell>
          <cell r="C139"/>
          <cell r="D139" t="str">
            <v>OK</v>
          </cell>
        </row>
        <row r="140">
          <cell r="B140" t="str">
            <v>Bancos de 
condensadores</v>
          </cell>
          <cell r="C140"/>
          <cell r="D140" t="str">
            <v>N/A</v>
          </cell>
        </row>
        <row r="141">
          <cell r="D141"/>
        </row>
        <row r="142">
          <cell r="B142" t="str">
            <v>Comentarios:</v>
          </cell>
          <cell r="C142" t="str">
            <v>El display del factor de potencia esta fuera de servicio.</v>
          </cell>
          <cell r="D142"/>
        </row>
        <row r="143">
          <cell r="B143"/>
          <cell r="C143"/>
          <cell r="D143"/>
        </row>
        <row r="173">
          <cell r="D173"/>
        </row>
        <row r="174">
          <cell r="D174"/>
        </row>
        <row r="175">
          <cell r="D175"/>
        </row>
        <row r="176">
          <cell r="D176"/>
        </row>
        <row r="177">
          <cell r="D177"/>
        </row>
        <row r="178">
          <cell r="D178"/>
        </row>
        <row r="179">
          <cell r="D179"/>
        </row>
        <row r="180">
          <cell r="B180" t="str">
            <v>UPS</v>
          </cell>
          <cell r="C180"/>
          <cell r="D180"/>
        </row>
        <row r="181">
          <cell r="B181" t="str">
            <v>UPS en línea</v>
          </cell>
          <cell r="C181"/>
          <cell r="D181" t="str">
            <v>OK</v>
          </cell>
        </row>
        <row r="182">
          <cell r="B182" t="str">
            <v>Aire acondicionado dedicado</v>
          </cell>
          <cell r="C182"/>
          <cell r="D182" t="str">
            <v>OK</v>
          </cell>
        </row>
        <row r="183">
          <cell r="B183" t="str">
            <v>Estado de carga de baterías</v>
          </cell>
          <cell r="C183"/>
          <cell r="D183" t="str">
            <v>OK</v>
          </cell>
        </row>
        <row r="184">
          <cell r="C184"/>
          <cell r="D184"/>
        </row>
        <row r="185">
          <cell r="C185"/>
          <cell r="D185"/>
        </row>
        <row r="186">
          <cell r="C186"/>
          <cell r="D186"/>
        </row>
        <row r="187">
          <cell r="C187"/>
          <cell r="D187"/>
        </row>
        <row r="188">
          <cell r="C188"/>
          <cell r="D188"/>
        </row>
        <row r="189">
          <cell r="C189"/>
          <cell r="D189"/>
        </row>
        <row r="190">
          <cell r="C190"/>
          <cell r="D190"/>
        </row>
        <row r="191">
          <cell r="C191"/>
          <cell r="D191"/>
        </row>
        <row r="192">
          <cell r="C192"/>
          <cell r="D192"/>
        </row>
        <row r="193">
          <cell r="C193"/>
          <cell r="D193"/>
        </row>
        <row r="194">
          <cell r="C194"/>
          <cell r="D194"/>
        </row>
        <row r="195">
          <cell r="C195"/>
          <cell r="D195"/>
        </row>
        <row r="196">
          <cell r="C196"/>
          <cell r="D196"/>
        </row>
        <row r="197">
          <cell r="B197" t="str">
            <v>3   GAS</v>
          </cell>
          <cell r="C197"/>
          <cell r="D197"/>
        </row>
        <row r="199">
          <cell r="B199" t="str">
            <v>GAS</v>
          </cell>
          <cell r="C199"/>
          <cell r="D199" t="str">
            <v>Estado</v>
          </cell>
        </row>
        <row r="200">
          <cell r="B200" t="str">
            <v>Flexibles autorizados</v>
          </cell>
          <cell r="C200"/>
          <cell r="D200" t="str">
            <v>OK</v>
          </cell>
        </row>
        <row r="201">
          <cell r="B201" t="str">
            <v>Sistema de corte por pánico</v>
          </cell>
          <cell r="C201"/>
          <cell r="D201" t="str">
            <v>OK</v>
          </cell>
        </row>
        <row r="202">
          <cell r="C202"/>
          <cell r="D202"/>
        </row>
        <row r="203">
          <cell r="B203" t="str">
            <v>Comentarios:</v>
          </cell>
          <cell r="C203" t="str">
            <v>Garrafa ubicada en pasillo. Se requiere nicho de protección.</v>
          </cell>
          <cell r="D203"/>
        </row>
        <row r="204">
          <cell r="B204"/>
          <cell r="C204" t="str">
            <v>Tubería de acometida en rotisería sin pintar.</v>
          </cell>
          <cell r="D204"/>
        </row>
      </sheetData>
      <sheetData sheetId="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BTC7UR2VVX5DJCTSGJLNG2IPO">
      <xxl21:absoluteUrl r:id="rId2"/>
    </xxl21:alternateUrls>
    <sheetNames>
      <sheetName val="Informe"/>
      <sheetName val="SPLITS"/>
      <sheetName val="MINISPLITS"/>
    </sheetNames>
    <sheetDataSet>
      <sheetData sheetId="0">
        <row r="6">
          <cell r="B6" t="str">
            <v>SUCURSAL:</v>
          </cell>
          <cell r="C6" t="str">
            <v>DISCO 22</v>
          </cell>
        </row>
        <row r="8">
          <cell r="B8" t="str">
            <v>1   AIRE ACONDICIONADO</v>
          </cell>
          <cell r="C8"/>
          <cell r="D8"/>
        </row>
        <row r="10">
          <cell r="B10" t="str">
            <v>CD/CI_x000D_
Sucursal</v>
          </cell>
          <cell r="C10">
            <v>1</v>
          </cell>
        </row>
        <row r="12">
          <cell r="B12" t="str">
            <v>Código</v>
          </cell>
          <cell r="C12"/>
          <cell r="D12" t="str">
            <v>Estado del equipo</v>
          </cell>
        </row>
        <row r="13">
          <cell r="B13" t="str">
            <v>Equipo</v>
          </cell>
          <cell r="C13" t="str">
            <v>Intercambiadores</v>
          </cell>
          <cell r="D13" t="str">
            <v>Gabinete</v>
          </cell>
        </row>
        <row r="14">
          <cell r="B14" t="str">
            <v>D22_S_01</v>
          </cell>
          <cell r="C14">
            <v>3</v>
          </cell>
          <cell r="D14">
            <v>2</v>
          </cell>
        </row>
        <row r="15">
          <cell r="B15" t="str">
            <v>D22_S_02</v>
          </cell>
          <cell r="C15">
            <v>3</v>
          </cell>
          <cell r="D15">
            <v>2</v>
          </cell>
        </row>
        <row r="16">
          <cell r="B16" t="str">
            <v>D22_S_03</v>
          </cell>
          <cell r="C16">
            <v>3</v>
          </cell>
          <cell r="D16">
            <v>2</v>
          </cell>
        </row>
        <row r="17">
          <cell r="B17" t="str">
            <v>D22_S_04</v>
          </cell>
          <cell r="C17">
            <v>2</v>
          </cell>
          <cell r="D17">
            <v>1</v>
          </cell>
        </row>
        <row r="18">
          <cell r="B18" t="str">
            <v>D22_S_05</v>
          </cell>
          <cell r="C18">
            <v>2</v>
          </cell>
          <cell r="D18">
            <v>1</v>
          </cell>
        </row>
        <row r="19">
          <cell r="B19" t="str">
            <v>D22_S_06</v>
          </cell>
          <cell r="C19">
            <v>2</v>
          </cell>
          <cell r="D19">
            <v>1</v>
          </cell>
        </row>
        <row r="20">
          <cell r="B20" t="str">
            <v>D22_S_07</v>
          </cell>
          <cell r="C20">
            <v>2</v>
          </cell>
          <cell r="D20">
            <v>1</v>
          </cell>
        </row>
        <row r="21">
          <cell r="B21" t="str">
            <v>D22_S_08</v>
          </cell>
          <cell r="C21">
            <v>2</v>
          </cell>
          <cell r="D21">
            <v>1</v>
          </cell>
        </row>
        <row r="22">
          <cell r="B22"/>
          <cell r="D22"/>
        </row>
        <row r="23">
          <cell r="B23" t="str">
            <v>Comentarios:</v>
          </cell>
          <cell r="C23" t="str">
            <v>La tubería de interconexión entre la unidad interior y exterior se encuentra desprendida del tímpano. 
Se debe fijar.</v>
          </cell>
          <cell r="D23"/>
        </row>
        <row r="24">
          <cell r="B24" t="str">
            <v>S_02</v>
          </cell>
          <cell r="C24" t="str">
            <v>Aleta deflectora faltante en unidad interior.</v>
          </cell>
          <cell r="D24"/>
        </row>
        <row r="25">
          <cell r="B25" t="str">
            <v>S_05</v>
          </cell>
          <cell r="C25" t="str">
            <v>Intercambiadores congelados.</v>
          </cell>
          <cell r="D25"/>
        </row>
        <row r="26">
          <cell r="B26" t="str">
            <v>S_07</v>
          </cell>
          <cell r="C26" t="str">
            <v>En la unidad interior, rejillas inferiores rotas. Reparar.</v>
          </cell>
          <cell r="D26"/>
        </row>
        <row r="27">
          <cell r="B27" t="str">
            <v>S_08</v>
          </cell>
          <cell r="C27" t="str">
            <v>En la unidad interior, falta una parte de la rejilla inferior.</v>
          </cell>
          <cell r="D27"/>
        </row>
        <row r="28">
          <cell r="B28"/>
        </row>
        <row r="29">
          <cell r="B29"/>
        </row>
        <row r="176">
          <cell r="B176" t="str">
            <v>2   ELÉCTRICA</v>
          </cell>
          <cell r="C176"/>
          <cell r="D176"/>
        </row>
        <row r="178">
          <cell r="B178" t="str">
            <v>Código</v>
          </cell>
          <cell r="C178" t="str">
            <v>Estado</v>
          </cell>
          <cell r="D178" t="str">
            <v>Mantenimiento</v>
          </cell>
        </row>
        <row r="179">
          <cell r="B179" t="str">
            <v>Generador</v>
          </cell>
          <cell r="C179" t="str">
            <v>Generador</v>
          </cell>
          <cell r="D179" t="str">
            <v>Proveedor</v>
          </cell>
        </row>
        <row r="180">
          <cell r="B180" t="str">
            <v>D22_G_01</v>
          </cell>
          <cell r="C180">
            <v>2</v>
          </cell>
          <cell r="D180">
            <v>2</v>
          </cell>
        </row>
        <row r="182">
          <cell r="B182" t="str">
            <v>GENERADOR</v>
          </cell>
          <cell r="C182"/>
          <cell r="D182" t="str">
            <v>Estado</v>
          </cell>
        </row>
        <row r="183">
          <cell r="B183" t="str">
            <v>Tanque de combustible</v>
          </cell>
          <cell r="C183"/>
          <cell r="D183">
            <v>1</v>
          </cell>
        </row>
        <row r="184">
          <cell r="B184" t="str">
            <v>Batería</v>
          </cell>
          <cell r="C184"/>
          <cell r="D184" t="str">
            <v>OK</v>
          </cell>
        </row>
        <row r="185">
          <cell r="B185" t="str">
            <v xml:space="preserve">Liquido refrigerante </v>
          </cell>
          <cell r="C185"/>
          <cell r="D185" t="str">
            <v>OK</v>
          </cell>
        </row>
        <row r="186">
          <cell r="B186" t="str">
            <v>Aceite</v>
          </cell>
          <cell r="C186"/>
          <cell r="D186" t="str">
            <v>OK</v>
          </cell>
        </row>
        <row r="188">
          <cell r="B188" t="str">
            <v>Comentarios:</v>
          </cell>
          <cell r="C188" t="str">
            <v>Falta tapón en tanque de combustible chasis.</v>
          </cell>
          <cell r="D188"/>
        </row>
        <row r="215">
          <cell r="B215" t="str">
            <v>SUBESTACIÓN</v>
          </cell>
          <cell r="C215"/>
          <cell r="D215" t="str">
            <v>Estado</v>
          </cell>
        </row>
        <row r="216">
          <cell r="B216" t="str">
            <v>Objetos extraños</v>
          </cell>
          <cell r="C216"/>
          <cell r="D216" t="str">
            <v>OK</v>
          </cell>
        </row>
        <row r="217">
          <cell r="B217" t="str">
            <v>Filtraciones de agua</v>
          </cell>
          <cell r="C217"/>
          <cell r="D217" t="str">
            <v>OK</v>
          </cell>
        </row>
        <row r="218">
          <cell r="B218" t="str">
            <v>Tableros eléctricos</v>
          </cell>
          <cell r="C218"/>
          <cell r="D218" t="str">
            <v>OK</v>
          </cell>
        </row>
        <row r="219">
          <cell r="B219" t="str">
            <v>Bancos de _x000D_condensadores</v>
          </cell>
          <cell r="C219"/>
          <cell r="D219" t="str">
            <v>N/A</v>
          </cell>
        </row>
        <row r="220">
          <cell r="D220"/>
        </row>
        <row r="221">
          <cell r="B221" t="str">
            <v>Comentarios:</v>
          </cell>
          <cell r="C221" t="str">
            <v>Manija de apertura en puerta de tablero eléctrico rota, continua.</v>
          </cell>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row r="246">
          <cell r="D246"/>
        </row>
        <row r="247">
          <cell r="D247"/>
        </row>
        <row r="248">
          <cell r="D248"/>
        </row>
        <row r="249">
          <cell r="D249"/>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D263"/>
        </row>
        <row r="264">
          <cell r="D264"/>
        </row>
        <row r="265">
          <cell r="D265"/>
        </row>
        <row r="266">
          <cell r="D266"/>
        </row>
        <row r="267">
          <cell r="D267"/>
        </row>
        <row r="268">
          <cell r="D268"/>
        </row>
        <row r="269">
          <cell r="D269"/>
        </row>
        <row r="270">
          <cell r="D270"/>
        </row>
        <row r="271">
          <cell r="D271"/>
        </row>
        <row r="272">
          <cell r="D272"/>
        </row>
        <row r="273">
          <cell r="D273"/>
        </row>
        <row r="274">
          <cell r="D274"/>
        </row>
        <row r="275">
          <cell r="B275" t="str">
            <v>UPS</v>
          </cell>
          <cell r="C275"/>
          <cell r="D275" t="str">
            <v>Estado</v>
          </cell>
        </row>
        <row r="276">
          <cell r="B276" t="str">
            <v>UPS en línea</v>
          </cell>
          <cell r="C276"/>
          <cell r="D276" t="str">
            <v>OK</v>
          </cell>
        </row>
        <row r="277">
          <cell r="B277" t="str">
            <v>Aire acondicionado dedicado</v>
          </cell>
          <cell r="C277"/>
          <cell r="D277" t="str">
            <v>NO OK</v>
          </cell>
        </row>
        <row r="278">
          <cell r="B278" t="str">
            <v>Estado de carga de baterías</v>
          </cell>
          <cell r="C278"/>
          <cell r="D278" t="str">
            <v>OK</v>
          </cell>
        </row>
        <row r="279">
          <cell r="B279"/>
          <cell r="C279"/>
        </row>
        <row r="280">
          <cell r="B280"/>
          <cell r="C280"/>
        </row>
        <row r="281">
          <cell r="B281"/>
          <cell r="C281"/>
        </row>
        <row r="282">
          <cell r="B282"/>
          <cell r="C282"/>
        </row>
        <row r="283">
          <cell r="B283"/>
          <cell r="C283"/>
        </row>
        <row r="284">
          <cell r="B284"/>
          <cell r="C284"/>
        </row>
        <row r="285">
          <cell r="B285"/>
          <cell r="C285"/>
        </row>
        <row r="286">
          <cell r="B286"/>
          <cell r="C286"/>
        </row>
        <row r="287">
          <cell r="B287"/>
          <cell r="C287"/>
        </row>
        <row r="288">
          <cell r="B288"/>
          <cell r="C288"/>
        </row>
        <row r="289">
          <cell r="B289"/>
          <cell r="C289"/>
        </row>
        <row r="290">
          <cell r="B290"/>
          <cell r="C290"/>
        </row>
        <row r="291">
          <cell r="B291"/>
          <cell r="C291"/>
        </row>
        <row r="292">
          <cell r="B292"/>
          <cell r="C292"/>
        </row>
        <row r="293">
          <cell r="B293"/>
          <cell r="C293"/>
        </row>
        <row r="294">
          <cell r="B294"/>
          <cell r="C294"/>
        </row>
        <row r="295">
          <cell r="B295"/>
          <cell r="C295"/>
        </row>
        <row r="296">
          <cell r="B296" t="str">
            <v>3   GAS</v>
          </cell>
          <cell r="C296"/>
          <cell r="D296"/>
        </row>
        <row r="298">
          <cell r="B298" t="str">
            <v>GAS</v>
          </cell>
          <cell r="C298"/>
          <cell r="D298" t="str">
            <v>Estado</v>
          </cell>
        </row>
        <row r="299">
          <cell r="B299" t="str">
            <v>Flexibles autorizados</v>
          </cell>
          <cell r="C299"/>
          <cell r="D299" t="str">
            <v>OK</v>
          </cell>
        </row>
        <row r="300">
          <cell r="B300" t="str">
            <v>Sistema de corte por pánico</v>
          </cell>
          <cell r="C300"/>
          <cell r="D300" t="str">
            <v>OK</v>
          </cell>
        </row>
      </sheetData>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VMTZBUJIG7ZDJQAIWKD6G5GMH">
      <xxl21:absoluteUrl r:id="rId2"/>
    </xxl21:alternateUrls>
    <sheetNames>
      <sheetName val="Informe"/>
      <sheetName val="SPLITS"/>
      <sheetName val="MINISPLITS"/>
    </sheetNames>
    <sheetDataSet>
      <sheetData sheetId="0">
        <row r="5">
          <cell r="B5" t="str">
            <v>SUCURSAL:</v>
          </cell>
          <cell r="C5" t="str">
            <v>DISCO 23</v>
          </cell>
        </row>
        <row r="7">
          <cell r="B7" t="str">
            <v>1   AIRE ACONDICIONADO</v>
          </cell>
          <cell r="C7"/>
          <cell r="D7"/>
        </row>
        <row r="9">
          <cell r="B9" t="str">
            <v>CD/CI_x000D_
Sucursal</v>
          </cell>
          <cell r="C9">
            <v>0.90909090909090906</v>
          </cell>
        </row>
        <row r="11">
          <cell r="B11" t="str">
            <v>Código</v>
          </cell>
          <cell r="C11"/>
          <cell r="D11" t="str">
            <v>Estado del equipo</v>
          </cell>
        </row>
        <row r="12">
          <cell r="B12" t="str">
            <v>Equipo</v>
          </cell>
          <cell r="C12" t="str">
            <v>Intercambiadores</v>
          </cell>
          <cell r="D12" t="str">
            <v>Gabinete</v>
          </cell>
        </row>
        <row r="13">
          <cell r="B13" t="str">
            <v>D23_S_01</v>
          </cell>
          <cell r="C13">
            <v>2</v>
          </cell>
          <cell r="D13">
            <v>2</v>
          </cell>
        </row>
        <row r="14">
          <cell r="B14" t="str">
            <v>D23_S_02</v>
          </cell>
          <cell r="C14">
            <v>2</v>
          </cell>
          <cell r="D14">
            <v>2</v>
          </cell>
        </row>
        <row r="15">
          <cell r="B15" t="str">
            <v>D23_S_03</v>
          </cell>
          <cell r="C15">
            <v>2</v>
          </cell>
          <cell r="D15">
            <v>2</v>
          </cell>
        </row>
        <row r="16">
          <cell r="B16" t="str">
            <v>D23_S_04</v>
          </cell>
          <cell r="C16">
            <v>2</v>
          </cell>
          <cell r="D16">
            <v>2</v>
          </cell>
        </row>
        <row r="17">
          <cell r="B17" t="str">
            <v>D23_S_05</v>
          </cell>
          <cell r="C17">
            <v>2</v>
          </cell>
          <cell r="D17">
            <v>2</v>
          </cell>
        </row>
        <row r="18">
          <cell r="B18" t="str">
            <v>D23_S_06</v>
          </cell>
          <cell r="C18">
            <v>2</v>
          </cell>
          <cell r="D18">
            <v>2</v>
          </cell>
        </row>
        <row r="19">
          <cell r="B19" t="str">
            <v>D23_S_07</v>
          </cell>
          <cell r="C19">
            <v>2</v>
          </cell>
          <cell r="D19">
            <v>2</v>
          </cell>
        </row>
        <row r="20">
          <cell r="B20" t="str">
            <v>D23_S_08</v>
          </cell>
          <cell r="C20">
            <v>2</v>
          </cell>
          <cell r="D20">
            <v>2</v>
          </cell>
        </row>
        <row r="21">
          <cell r="B21" t="str">
            <v>D23_S_09</v>
          </cell>
          <cell r="C21">
            <v>2</v>
          </cell>
          <cell r="D21">
            <v>2</v>
          </cell>
        </row>
        <row r="22">
          <cell r="B22" t="str">
            <v>D23_S_10</v>
          </cell>
          <cell r="C22">
            <v>2</v>
          </cell>
          <cell r="D22">
            <v>2</v>
          </cell>
        </row>
        <row r="23">
          <cell r="B23" t="str">
            <v>D23_S_11</v>
          </cell>
          <cell r="C23">
            <v>2</v>
          </cell>
          <cell r="D23">
            <v>2</v>
          </cell>
        </row>
        <row r="24">
          <cell r="D24"/>
        </row>
        <row r="25">
          <cell r="B25" t="str">
            <v>Comentarios:</v>
          </cell>
          <cell r="C25" t="str">
            <v>S_01/S_10</v>
          </cell>
          <cell r="D25" t="str">
            <v>Intercambiadores exteriores sucios.</v>
          </cell>
        </row>
        <row r="26">
          <cell r="B26"/>
          <cell r="C26" t="str">
            <v>S_06</v>
          </cell>
          <cell r="D26" t="str">
            <v>Fuera de servicio. Se retiró unidad interior.</v>
          </cell>
        </row>
        <row r="27">
          <cell r="B27" t="str">
            <v>S_01/S_11</v>
          </cell>
          <cell r="C27" t="str">
            <v>Rejillas en unidades interiores sucias y zafadas. Limpiar.</v>
          </cell>
          <cell r="D27"/>
        </row>
        <row r="28">
          <cell r="B28" t="str">
            <v>S_11</v>
          </cell>
          <cell r="C28" t="str">
            <v>Aletado para direccionamiento de aire roto. Reparar.</v>
          </cell>
          <cell r="D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50">
          <cell r="B50"/>
          <cell r="C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row>
        <row r="114">
          <cell r="B114"/>
        </row>
        <row r="115">
          <cell r="B115"/>
        </row>
        <row r="116">
          <cell r="B116"/>
        </row>
        <row r="117">
          <cell r="B117"/>
        </row>
        <row r="118">
          <cell r="B118"/>
        </row>
        <row r="119">
          <cell r="B119"/>
        </row>
        <row r="120">
          <cell r="B120"/>
        </row>
        <row r="121">
          <cell r="B121"/>
        </row>
        <row r="122">
          <cell r="B122"/>
        </row>
        <row r="123">
          <cell r="B123"/>
        </row>
        <row r="124">
          <cell r="B124"/>
        </row>
        <row r="125">
          <cell r="B125"/>
        </row>
        <row r="126">
          <cell r="B126"/>
        </row>
        <row r="127">
          <cell r="B127"/>
        </row>
        <row r="128">
          <cell r="B128"/>
        </row>
        <row r="129">
          <cell r="B129"/>
        </row>
        <row r="130">
          <cell r="B130"/>
        </row>
        <row r="131">
          <cell r="B131"/>
        </row>
        <row r="132">
          <cell r="B132"/>
        </row>
        <row r="133">
          <cell r="B133"/>
        </row>
        <row r="134">
          <cell r="B134"/>
        </row>
        <row r="135">
          <cell r="B135"/>
        </row>
        <row r="136">
          <cell r="B136"/>
        </row>
        <row r="137">
          <cell r="B137"/>
        </row>
        <row r="138">
          <cell r="B138"/>
        </row>
        <row r="139">
          <cell r="B139"/>
        </row>
        <row r="140">
          <cell r="B140"/>
        </row>
        <row r="141">
          <cell r="B141"/>
        </row>
        <row r="142">
          <cell r="B142"/>
        </row>
        <row r="143">
          <cell r="B143"/>
        </row>
        <row r="144">
          <cell r="B144"/>
        </row>
        <row r="145">
          <cell r="B145"/>
        </row>
        <row r="146">
          <cell r="B146"/>
        </row>
        <row r="147">
          <cell r="B147"/>
        </row>
        <row r="148">
          <cell r="B148"/>
        </row>
        <row r="149">
          <cell r="B149"/>
        </row>
        <row r="150">
          <cell r="B150"/>
        </row>
        <row r="151">
          <cell r="B151"/>
        </row>
        <row r="152">
          <cell r="B152"/>
        </row>
        <row r="153">
          <cell r="B153"/>
        </row>
        <row r="154">
          <cell r="B154"/>
        </row>
        <row r="155">
          <cell r="B155"/>
        </row>
        <row r="156">
          <cell r="B156"/>
        </row>
        <row r="157">
          <cell r="B157"/>
        </row>
        <row r="158">
          <cell r="B158"/>
        </row>
        <row r="159">
          <cell r="B159"/>
        </row>
        <row r="160">
          <cell r="B160"/>
        </row>
        <row r="161">
          <cell r="B161"/>
        </row>
        <row r="162">
          <cell r="B162"/>
        </row>
        <row r="163">
          <cell r="B163"/>
        </row>
        <row r="164">
          <cell r="B164"/>
        </row>
        <row r="165">
          <cell r="B165"/>
        </row>
        <row r="166">
          <cell r="B166"/>
        </row>
        <row r="167">
          <cell r="B167"/>
        </row>
        <row r="168">
          <cell r="B168"/>
        </row>
        <row r="169">
          <cell r="B169"/>
        </row>
        <row r="170">
          <cell r="B170"/>
        </row>
        <row r="171">
          <cell r="B171"/>
        </row>
        <row r="172">
          <cell r="B172"/>
        </row>
        <row r="173">
          <cell r="B173"/>
        </row>
        <row r="174">
          <cell r="B174"/>
        </row>
        <row r="175">
          <cell r="B175"/>
        </row>
        <row r="176">
          <cell r="B176"/>
        </row>
        <row r="177">
          <cell r="B177"/>
        </row>
        <row r="178">
          <cell r="B178"/>
        </row>
        <row r="179">
          <cell r="B179"/>
        </row>
        <row r="180">
          <cell r="B180"/>
        </row>
        <row r="181">
          <cell r="B181" t="str">
            <v>2   ELÉCTRICA</v>
          </cell>
          <cell r="C181"/>
          <cell r="D181"/>
        </row>
        <row r="183">
          <cell r="B183" t="str">
            <v>Código</v>
          </cell>
          <cell r="C183" t="str">
            <v>Estado</v>
          </cell>
          <cell r="D183" t="str">
            <v>Mantenimiento</v>
          </cell>
        </row>
        <row r="184">
          <cell r="B184" t="str">
            <v>Generador</v>
          </cell>
          <cell r="C184" t="str">
            <v>Generador</v>
          </cell>
          <cell r="D184" t="str">
            <v>Proveedor</v>
          </cell>
        </row>
        <row r="185">
          <cell r="B185" t="str">
            <v>D23_G_01</v>
          </cell>
          <cell r="C185">
            <v>2</v>
          </cell>
          <cell r="D185">
            <v>3</v>
          </cell>
        </row>
        <row r="186">
          <cell r="B186"/>
          <cell r="C186"/>
          <cell r="D186"/>
        </row>
        <row r="187">
          <cell r="B187" t="str">
            <v>GENERADOR</v>
          </cell>
          <cell r="C187"/>
          <cell r="D187" t="str">
            <v>Estado</v>
          </cell>
        </row>
        <row r="188">
          <cell r="B188" t="str">
            <v>Tanque de Combustible</v>
          </cell>
          <cell r="C188"/>
          <cell r="D188">
            <v>0.45</v>
          </cell>
        </row>
        <row r="189">
          <cell r="B189" t="str">
            <v>Batería</v>
          </cell>
          <cell r="C189"/>
          <cell r="D189" t="str">
            <v>OK</v>
          </cell>
        </row>
        <row r="190">
          <cell r="B190" t="str">
            <v>Liquido refrigerante</v>
          </cell>
          <cell r="C190"/>
          <cell r="D190" t="str">
            <v>OK</v>
          </cell>
        </row>
        <row r="191">
          <cell r="B191" t="str">
            <v>Aceite</v>
          </cell>
          <cell r="C191"/>
          <cell r="D191" t="str">
            <v>OK</v>
          </cell>
        </row>
        <row r="193">
          <cell r="B193" t="str">
            <v>Comentarios:</v>
          </cell>
          <cell r="C193" t="str">
            <v>Incongruencia entre nivel de combustible marcado por chasis y tablero.</v>
          </cell>
          <cell r="D193"/>
        </row>
        <row r="195">
          <cell r="B195"/>
        </row>
        <row r="196">
          <cell r="B196"/>
        </row>
        <row r="197">
          <cell r="B197"/>
        </row>
        <row r="198">
          <cell r="B198"/>
        </row>
        <row r="199">
          <cell r="B199"/>
        </row>
        <row r="200">
          <cell r="B200"/>
        </row>
        <row r="201">
          <cell r="B201"/>
        </row>
        <row r="202">
          <cell r="B202"/>
        </row>
        <row r="203">
          <cell r="B203"/>
        </row>
        <row r="204">
          <cell r="B204"/>
        </row>
        <row r="205">
          <cell r="B205"/>
        </row>
        <row r="206">
          <cell r="B206"/>
        </row>
        <row r="207">
          <cell r="B207"/>
        </row>
        <row r="208">
          <cell r="B208"/>
        </row>
        <row r="209">
          <cell r="B209"/>
        </row>
        <row r="210">
          <cell r="B210"/>
        </row>
        <row r="211">
          <cell r="B211"/>
        </row>
        <row r="212">
          <cell r="B212"/>
        </row>
        <row r="213">
          <cell r="B213"/>
        </row>
        <row r="214">
          <cell r="B214"/>
        </row>
        <row r="215">
          <cell r="B215"/>
        </row>
        <row r="216">
          <cell r="B216"/>
        </row>
        <row r="217">
          <cell r="B217"/>
        </row>
        <row r="218">
          <cell r="B218"/>
        </row>
        <row r="219">
          <cell r="B219"/>
        </row>
        <row r="220">
          <cell r="B220"/>
        </row>
        <row r="221">
          <cell r="B221"/>
        </row>
        <row r="222">
          <cell r="B222"/>
        </row>
        <row r="223">
          <cell r="B223"/>
        </row>
        <row r="224">
          <cell r="B224"/>
        </row>
        <row r="225">
          <cell r="B225"/>
        </row>
        <row r="226">
          <cell r="B226" t="str">
            <v>SUBESTACIÓN</v>
          </cell>
          <cell r="C226"/>
          <cell r="D226" t="str">
            <v>Estado</v>
          </cell>
        </row>
        <row r="227">
          <cell r="B227" t="str">
            <v>Objetos extraños</v>
          </cell>
          <cell r="C227"/>
          <cell r="D227" t="str">
            <v>OK</v>
          </cell>
        </row>
        <row r="228">
          <cell r="B228" t="str">
            <v>Filtraciones de agua</v>
          </cell>
          <cell r="C228"/>
          <cell r="D228" t="str">
            <v>OK</v>
          </cell>
        </row>
        <row r="229">
          <cell r="B229" t="str">
            <v>Tableros eléctricos</v>
          </cell>
          <cell r="C229"/>
          <cell r="D229" t="str">
            <v>OK</v>
          </cell>
        </row>
        <row r="230">
          <cell r="B230" t="str">
            <v>Bancos de _x000D_condensadores</v>
          </cell>
          <cell r="C230"/>
          <cell r="D230" t="str">
            <v>NO OK</v>
          </cell>
        </row>
        <row r="231">
          <cell r="D231"/>
        </row>
        <row r="232">
          <cell r="B232" t="str">
            <v>Comentarios:</v>
          </cell>
          <cell r="C232" t="str">
            <v>No existe display de factor de potencia.</v>
          </cell>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row r="246">
          <cell r="D246"/>
        </row>
        <row r="247">
          <cell r="D247"/>
        </row>
        <row r="248">
          <cell r="D248"/>
        </row>
        <row r="249">
          <cell r="D249"/>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B263" t="str">
            <v>UPS</v>
          </cell>
          <cell r="C263"/>
          <cell r="D263" t="str">
            <v>Estado</v>
          </cell>
        </row>
        <row r="264">
          <cell r="B264" t="str">
            <v>UPS en línea</v>
          </cell>
          <cell r="C264"/>
          <cell r="D264" t="str">
            <v>OK</v>
          </cell>
        </row>
        <row r="265">
          <cell r="B265" t="str">
            <v>Aire acondicionado dedicado</v>
          </cell>
          <cell r="C265"/>
          <cell r="D265" t="str">
            <v>OK</v>
          </cell>
        </row>
        <row r="266">
          <cell r="B266" t="str">
            <v>Estado de carga de baterías</v>
          </cell>
          <cell r="C266"/>
          <cell r="D266" t="str">
            <v>OK</v>
          </cell>
        </row>
        <row r="267">
          <cell r="C267"/>
          <cell r="D267"/>
        </row>
        <row r="268">
          <cell r="B268" t="str">
            <v>Comentarios:</v>
          </cell>
          <cell r="C268"/>
          <cell r="D268"/>
        </row>
        <row r="279">
          <cell r="B279" t="str">
            <v>3   GAS</v>
          </cell>
          <cell r="C279"/>
          <cell r="D279"/>
        </row>
        <row r="281">
          <cell r="B281" t="str">
            <v>GAS</v>
          </cell>
          <cell r="C281"/>
          <cell r="D281" t="str">
            <v>Estado</v>
          </cell>
        </row>
        <row r="282">
          <cell r="B282" t="str">
            <v>Flexibles autorizados</v>
          </cell>
          <cell r="C282"/>
          <cell r="D282" t="str">
            <v>OK</v>
          </cell>
        </row>
        <row r="283">
          <cell r="B283" t="str">
            <v>Sistema de corte por pánico</v>
          </cell>
          <cell r="C283"/>
          <cell r="D283" t="str">
            <v>NO OK</v>
          </cell>
        </row>
        <row r="284">
          <cell r="C284"/>
          <cell r="D284"/>
        </row>
        <row r="285">
          <cell r="C285"/>
          <cell r="D285"/>
        </row>
        <row r="286">
          <cell r="C286"/>
          <cell r="D286"/>
        </row>
        <row r="287">
          <cell r="C287"/>
          <cell r="D287"/>
        </row>
        <row r="288">
          <cell r="C288"/>
          <cell r="D288"/>
        </row>
        <row r="289">
          <cell r="C289"/>
          <cell r="D289"/>
        </row>
        <row r="290">
          <cell r="C290"/>
          <cell r="D290"/>
        </row>
        <row r="291">
          <cell r="C291"/>
          <cell r="D291"/>
        </row>
        <row r="292">
          <cell r="C292"/>
          <cell r="D292"/>
        </row>
        <row r="293">
          <cell r="C293"/>
          <cell r="D293"/>
        </row>
        <row r="294">
          <cell r="C294"/>
          <cell r="D294"/>
        </row>
        <row r="295">
          <cell r="C295"/>
          <cell r="D295"/>
        </row>
        <row r="296">
          <cell r="C296"/>
          <cell r="D296"/>
        </row>
        <row r="297">
          <cell r="C297"/>
          <cell r="D297"/>
        </row>
        <row r="298">
          <cell r="C298"/>
          <cell r="D298"/>
        </row>
        <row r="299">
          <cell r="C299"/>
          <cell r="D299"/>
        </row>
        <row r="300">
          <cell r="C300"/>
          <cell r="D300"/>
        </row>
      </sheetData>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4UQ4IO6Q6KCFFJVJ3TJ5HQ7UC5">
      <xxl21:absoluteUrl r:id="rId2"/>
    </xxl21:alternateUrls>
    <sheetNames>
      <sheetName val="Informe"/>
      <sheetName val="SPLITS"/>
      <sheetName val="MINISPLITS"/>
    </sheetNames>
    <sheetDataSet>
      <sheetData sheetId="0">
        <row r="5">
          <cell r="B5" t="str">
            <v>SUCURSAL:</v>
          </cell>
          <cell r="C5" t="str">
            <v>DISCO 24</v>
          </cell>
        </row>
        <row r="7">
          <cell r="B7" t="str">
            <v>1   AIRE ACONDICIONADO</v>
          </cell>
          <cell r="C7"/>
          <cell r="D7"/>
        </row>
        <row r="9">
          <cell r="B9" t="str">
            <v>CD/CI_x000D_
Sucursal</v>
          </cell>
          <cell r="C9">
            <v>0.7857142857142857</v>
          </cell>
        </row>
        <row r="11">
          <cell r="B11" t="str">
            <v>Código</v>
          </cell>
          <cell r="C11"/>
          <cell r="D11" t="str">
            <v>Estado del equipo</v>
          </cell>
        </row>
        <row r="12">
          <cell r="B12" t="str">
            <v>Equipo</v>
          </cell>
          <cell r="C12" t="str">
            <v>Intercambiadores</v>
          </cell>
          <cell r="D12" t="str">
            <v>Gabinete</v>
          </cell>
        </row>
        <row r="13">
          <cell r="B13" t="str">
            <v>D24_S_01</v>
          </cell>
          <cell r="C13">
            <v>2</v>
          </cell>
          <cell r="D13">
            <v>3</v>
          </cell>
        </row>
        <row r="14">
          <cell r="B14" t="str">
            <v>D24_S_02</v>
          </cell>
          <cell r="C14">
            <v>3</v>
          </cell>
          <cell r="D14">
            <v>3</v>
          </cell>
        </row>
        <row r="15">
          <cell r="B15" t="str">
            <v>D24_S_03</v>
          </cell>
          <cell r="C15">
            <v>3</v>
          </cell>
          <cell r="D15">
            <v>3</v>
          </cell>
        </row>
        <row r="16">
          <cell r="B16" t="str">
            <v>D24_S_04</v>
          </cell>
          <cell r="C16">
            <v>2</v>
          </cell>
          <cell r="D16">
            <v>3</v>
          </cell>
        </row>
        <row r="17">
          <cell r="B17" t="str">
            <v>D24_S_05</v>
          </cell>
          <cell r="C17">
            <v>2</v>
          </cell>
          <cell r="D17">
            <v>3</v>
          </cell>
        </row>
        <row r="18">
          <cell r="B18" t="str">
            <v>D24_S_06</v>
          </cell>
          <cell r="C18">
            <v>2</v>
          </cell>
          <cell r="D18">
            <v>3</v>
          </cell>
        </row>
        <row r="19">
          <cell r="B19" t="str">
            <v>D24_S_07</v>
          </cell>
          <cell r="C19">
            <v>2</v>
          </cell>
          <cell r="D19">
            <v>3</v>
          </cell>
        </row>
        <row r="20">
          <cell r="D20"/>
        </row>
        <row r="21">
          <cell r="B21" t="str">
            <v>Comentarios:</v>
          </cell>
          <cell r="C21" t="str">
            <v>S_03</v>
          </cell>
          <cell r="D21" t="str">
            <v>Rejillas en unidad interior zafadas.</v>
          </cell>
        </row>
        <row r="22">
          <cell r="B22" t="str">
            <v>S_07</v>
          </cell>
          <cell r="C22" t="str">
            <v>Equipo fuera de servicio. Continúa.</v>
          </cell>
          <cell r="D22"/>
        </row>
        <row r="23">
          <cell r="B23" t="str">
            <v>S_02</v>
          </cell>
          <cell r="C23" t="str">
            <v>Control indica aire a 19°C, el display muestra 34°C parpadeante. Temperatura leída 27°C.</v>
          </cell>
          <cell r="D23"/>
        </row>
        <row r="24">
          <cell r="B24"/>
          <cell r="D24"/>
        </row>
        <row r="25">
          <cell r="B25"/>
          <cell r="D25"/>
        </row>
        <row r="26">
          <cell r="B26"/>
          <cell r="D26"/>
        </row>
        <row r="27">
          <cell r="B27"/>
          <cell r="D27"/>
        </row>
        <row r="28">
          <cell r="B28"/>
          <cell r="D28"/>
        </row>
        <row r="29">
          <cell r="B29"/>
          <cell r="D29"/>
        </row>
        <row r="30">
          <cell r="B30"/>
          <cell r="D30"/>
        </row>
        <row r="31">
          <cell r="B31"/>
          <cell r="D31"/>
        </row>
        <row r="32">
          <cell r="B32"/>
          <cell r="D32"/>
        </row>
        <row r="33">
          <cell r="B33"/>
          <cell r="D33"/>
        </row>
        <row r="34">
          <cell r="B34"/>
          <cell r="D34"/>
        </row>
        <row r="35">
          <cell r="B35"/>
          <cell r="D35"/>
        </row>
        <row r="36">
          <cell r="B36"/>
          <cell r="D36"/>
        </row>
        <row r="37">
          <cell r="B37"/>
          <cell r="D37"/>
        </row>
        <row r="38">
          <cell r="B38"/>
          <cell r="D38"/>
        </row>
        <row r="39">
          <cell r="B39"/>
          <cell r="D39"/>
        </row>
        <row r="40">
          <cell r="B40"/>
          <cell r="D40"/>
        </row>
        <row r="41">
          <cell r="B41"/>
          <cell r="D41"/>
        </row>
        <row r="42">
          <cell r="B42"/>
          <cell r="D42"/>
        </row>
        <row r="43">
          <cell r="B43"/>
        </row>
        <row r="44">
          <cell r="B44"/>
        </row>
        <row r="45">
          <cell r="B45"/>
        </row>
        <row r="46">
          <cell r="B46"/>
        </row>
        <row r="47">
          <cell r="B47"/>
        </row>
        <row r="48">
          <cell r="B48"/>
        </row>
        <row r="49">
          <cell r="B49"/>
        </row>
        <row r="51">
          <cell r="B51"/>
          <cell r="C51"/>
          <cell r="D51"/>
        </row>
        <row r="52">
          <cell r="B52"/>
          <cell r="C52"/>
          <cell r="D52"/>
        </row>
        <row r="53">
          <cell r="B53"/>
          <cell r="C53"/>
          <cell r="D53"/>
        </row>
        <row r="54">
          <cell r="B54"/>
          <cell r="C54"/>
          <cell r="D54"/>
        </row>
        <row r="55">
          <cell r="B55"/>
          <cell r="C55"/>
          <cell r="D55"/>
        </row>
        <row r="56">
          <cell r="B56"/>
          <cell r="C56"/>
          <cell r="D56"/>
        </row>
        <row r="57">
          <cell r="B57"/>
          <cell r="C57"/>
          <cell r="D57"/>
        </row>
        <row r="58">
          <cell r="B58"/>
          <cell r="C58"/>
          <cell r="D58"/>
        </row>
        <row r="59">
          <cell r="B59"/>
          <cell r="C59"/>
          <cell r="D59"/>
        </row>
        <row r="60">
          <cell r="B60"/>
          <cell r="C60"/>
          <cell r="D60"/>
        </row>
        <row r="61">
          <cell r="B61"/>
          <cell r="C61"/>
          <cell r="D61"/>
        </row>
        <row r="62">
          <cell r="B62"/>
          <cell r="C62"/>
          <cell r="D62"/>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cell r="C104"/>
          <cell r="D104"/>
        </row>
        <row r="105">
          <cell r="B105"/>
          <cell r="C105"/>
          <cell r="D105"/>
        </row>
        <row r="106">
          <cell r="B106"/>
          <cell r="C106"/>
          <cell r="D106"/>
        </row>
        <row r="107">
          <cell r="B107"/>
          <cell r="C107"/>
          <cell r="D107"/>
        </row>
        <row r="108">
          <cell r="B108"/>
          <cell r="C108"/>
          <cell r="D108"/>
        </row>
        <row r="109">
          <cell r="B109"/>
          <cell r="C109"/>
          <cell r="D109"/>
        </row>
        <row r="110">
          <cell r="B110"/>
          <cell r="C110"/>
          <cell r="D110"/>
        </row>
        <row r="111">
          <cell r="B111" t="str">
            <v>2   ELÉCTRICA</v>
          </cell>
          <cell r="C111"/>
          <cell r="D111"/>
        </row>
        <row r="113">
          <cell r="B113" t="str">
            <v>Código</v>
          </cell>
          <cell r="C113" t="str">
            <v>Estado</v>
          </cell>
          <cell r="D113" t="str">
            <v>Mantenimiento</v>
          </cell>
        </row>
        <row r="114">
          <cell r="B114" t="str">
            <v>Generador</v>
          </cell>
          <cell r="C114" t="str">
            <v>Generador</v>
          </cell>
          <cell r="D114" t="str">
            <v>Proveedor</v>
          </cell>
        </row>
        <row r="115">
          <cell r="B115" t="str">
            <v>D24_G_01</v>
          </cell>
          <cell r="C115">
            <v>2</v>
          </cell>
          <cell r="D115">
            <v>2</v>
          </cell>
        </row>
        <row r="117">
          <cell r="B117" t="str">
            <v>GENERADOR</v>
          </cell>
          <cell r="C117"/>
          <cell r="D117" t="str">
            <v>Estado</v>
          </cell>
        </row>
        <row r="118">
          <cell r="B118" t="str">
            <v>Tanque de Combustible</v>
          </cell>
          <cell r="C118"/>
          <cell r="D118">
            <v>0.5</v>
          </cell>
        </row>
        <row r="119">
          <cell r="B119" t="str">
            <v>Batería</v>
          </cell>
          <cell r="C119"/>
          <cell r="D119" t="str">
            <v>OK</v>
          </cell>
        </row>
        <row r="120">
          <cell r="B120" t="str">
            <v>Líquido refrigerante</v>
          </cell>
          <cell r="C120"/>
          <cell r="D120" t="str">
            <v>OK</v>
          </cell>
        </row>
        <row r="121">
          <cell r="B121" t="str">
            <v>Aceite</v>
          </cell>
          <cell r="C121"/>
          <cell r="D121" t="str">
            <v>OK</v>
          </cell>
        </row>
        <row r="122">
          <cell r="B122" t="str">
            <v>Comentarios:</v>
          </cell>
          <cell r="C122" t="str">
            <v>Bandeja de recolección debajo de equipo con alta presencia de agua</v>
          </cell>
          <cell r="D122"/>
        </row>
        <row r="123">
          <cell r="B123"/>
          <cell r="C123" t="str">
            <v>Proteger correas.</v>
          </cell>
          <cell r="D123"/>
        </row>
        <row r="156">
          <cell r="B156" t="str">
            <v>SUBESTACIÓN</v>
          </cell>
          <cell r="C156"/>
          <cell r="D156" t="str">
            <v>Estado</v>
          </cell>
        </row>
        <row r="157">
          <cell r="B157" t="str">
            <v>Objetos extraños</v>
          </cell>
          <cell r="C157"/>
          <cell r="D157" t="str">
            <v>OK</v>
          </cell>
        </row>
        <row r="158">
          <cell r="B158" t="str">
            <v>Filtraciones de agua</v>
          </cell>
          <cell r="C158"/>
          <cell r="D158" t="str">
            <v>OK</v>
          </cell>
        </row>
        <row r="159">
          <cell r="B159" t="str">
            <v>Tableros eléctricos</v>
          </cell>
          <cell r="C159"/>
          <cell r="D159" t="str">
            <v>OK</v>
          </cell>
        </row>
        <row r="160">
          <cell r="B160" t="str">
            <v>Bancos de _x000D_condensadores</v>
          </cell>
          <cell r="C160"/>
          <cell r="D160" t="str">
            <v>OK</v>
          </cell>
        </row>
        <row r="161">
          <cell r="D161"/>
        </row>
        <row r="162">
          <cell r="B162" t="str">
            <v>Comentarios:</v>
          </cell>
          <cell r="C162" t="str">
            <v>Retirar elementos y mercadería delante de tablero eléctrico.</v>
          </cell>
          <cell r="D162"/>
        </row>
        <row r="163">
          <cell r="B163"/>
          <cell r="C163" t="str">
            <v xml:space="preserve">Canalizar conductores de acometida eléctrica a tablero en bandeja eléctrica Daisa. </v>
          </cell>
          <cell r="D163"/>
        </row>
        <row r="164">
          <cell r="B164"/>
          <cell r="C164" t="str">
            <v>Interruptor principal, acometida inferior a 45°C. Verificar.</v>
          </cell>
          <cell r="D164"/>
        </row>
        <row r="165">
          <cell r="B165"/>
          <cell r="C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B211" t="str">
            <v>UPS</v>
          </cell>
          <cell r="C211"/>
          <cell r="D211" t="str">
            <v>Estado</v>
          </cell>
        </row>
        <row r="212">
          <cell r="B212" t="str">
            <v>UPS en línea</v>
          </cell>
          <cell r="C212"/>
          <cell r="D212" t="str">
            <v>OK</v>
          </cell>
        </row>
        <row r="213">
          <cell r="B213" t="str">
            <v>Aire acondicionado en linea</v>
          </cell>
          <cell r="C213"/>
          <cell r="D213" t="str">
            <v>OK</v>
          </cell>
        </row>
        <row r="214">
          <cell r="B214" t="str">
            <v>Estado de carga de baterías</v>
          </cell>
          <cell r="C214"/>
          <cell r="D214" t="str">
            <v>OK</v>
          </cell>
        </row>
        <row r="215">
          <cell r="D215"/>
        </row>
        <row r="216">
          <cell r="D216"/>
        </row>
        <row r="217">
          <cell r="D217"/>
        </row>
        <row r="218">
          <cell r="D218"/>
        </row>
        <row r="219">
          <cell r="D219"/>
        </row>
        <row r="220">
          <cell r="D220"/>
        </row>
        <row r="221">
          <cell r="D221"/>
        </row>
        <row r="222">
          <cell r="D222"/>
        </row>
        <row r="223">
          <cell r="D223"/>
        </row>
        <row r="224">
          <cell r="D224"/>
        </row>
        <row r="225">
          <cell r="B225" t="str">
            <v>3   GAS</v>
          </cell>
          <cell r="C225"/>
          <cell r="D225"/>
        </row>
        <row r="227">
          <cell r="B227" t="str">
            <v>GAS</v>
          </cell>
          <cell r="C227"/>
          <cell r="D227" t="str">
            <v>Estado</v>
          </cell>
        </row>
        <row r="228">
          <cell r="B228" t="str">
            <v>Flexibles autorizados</v>
          </cell>
          <cell r="C228"/>
          <cell r="D228" t="str">
            <v>OK</v>
          </cell>
        </row>
        <row r="229">
          <cell r="B229" t="str">
            <v>Sistema de corte por pánico</v>
          </cell>
          <cell r="C229"/>
          <cell r="D229" t="str">
            <v>OK</v>
          </cell>
        </row>
        <row r="230">
          <cell r="D230"/>
        </row>
        <row r="231">
          <cell r="B231"/>
          <cell r="C231"/>
          <cell r="D231"/>
        </row>
        <row r="232">
          <cell r="B232"/>
          <cell r="C232"/>
          <cell r="D232"/>
        </row>
        <row r="233">
          <cell r="B233"/>
          <cell r="C233"/>
          <cell r="D233"/>
        </row>
        <row r="234">
          <cell r="B234"/>
          <cell r="C234"/>
          <cell r="D234"/>
        </row>
        <row r="235">
          <cell r="B235"/>
          <cell r="C235"/>
          <cell r="D235"/>
        </row>
        <row r="236">
          <cell r="B236"/>
          <cell r="C236"/>
          <cell r="D236"/>
        </row>
        <row r="237">
          <cell r="B237"/>
          <cell r="C237"/>
          <cell r="D237"/>
        </row>
        <row r="238">
          <cell r="B238"/>
          <cell r="C238"/>
          <cell r="D238"/>
        </row>
        <row r="239">
          <cell r="B239"/>
          <cell r="C239"/>
          <cell r="D239"/>
        </row>
        <row r="240">
          <cell r="B240"/>
          <cell r="C240"/>
          <cell r="D240"/>
        </row>
        <row r="241">
          <cell r="B241"/>
          <cell r="C241"/>
          <cell r="D241"/>
        </row>
        <row r="242">
          <cell r="B242"/>
          <cell r="C242"/>
          <cell r="D242"/>
        </row>
        <row r="243">
          <cell r="B243"/>
          <cell r="C243"/>
          <cell r="D243"/>
        </row>
        <row r="244">
          <cell r="B244"/>
          <cell r="C244"/>
          <cell r="D244"/>
        </row>
        <row r="245">
          <cell r="B245"/>
          <cell r="C245"/>
          <cell r="D245"/>
        </row>
        <row r="246">
          <cell r="B246"/>
          <cell r="C246"/>
          <cell r="D246"/>
        </row>
        <row r="247">
          <cell r="B247"/>
          <cell r="C247"/>
          <cell r="D247"/>
        </row>
        <row r="248">
          <cell r="B248"/>
          <cell r="C248"/>
          <cell r="D248"/>
        </row>
        <row r="249">
          <cell r="B249"/>
          <cell r="C249"/>
          <cell r="D249"/>
        </row>
        <row r="250">
          <cell r="B250"/>
          <cell r="C250"/>
          <cell r="D250"/>
        </row>
        <row r="251">
          <cell r="B251"/>
          <cell r="C251"/>
          <cell r="D251"/>
        </row>
        <row r="252">
          <cell r="B252"/>
          <cell r="C252"/>
          <cell r="D252"/>
        </row>
        <row r="253">
          <cell r="B253"/>
          <cell r="C253"/>
          <cell r="D253"/>
        </row>
        <row r="254">
          <cell r="B254"/>
          <cell r="C254"/>
          <cell r="D254"/>
        </row>
        <row r="255">
          <cell r="B255"/>
          <cell r="C255"/>
          <cell r="D255"/>
        </row>
        <row r="256">
          <cell r="B256"/>
          <cell r="C256"/>
          <cell r="D256"/>
        </row>
        <row r="257">
          <cell r="B257"/>
          <cell r="C257"/>
          <cell r="D257"/>
        </row>
        <row r="258">
          <cell r="B258"/>
          <cell r="C258"/>
          <cell r="D258"/>
        </row>
        <row r="259">
          <cell r="B259" t="str">
            <v>4   OBSERVACIONES GENERALES</v>
          </cell>
          <cell r="C259"/>
          <cell r="D259"/>
        </row>
        <row r="260">
          <cell r="B260"/>
        </row>
        <row r="261">
          <cell r="B261" t="str">
            <v>Comentarios:</v>
          </cell>
          <cell r="C261" t="str">
            <v>Apertura de puerta para salida azotea rompe sensor de humo al golpearlo.</v>
          </cell>
          <cell r="D261"/>
        </row>
        <row r="262">
          <cell r="B262"/>
          <cell r="C262" t="str">
            <v xml:space="preserve">Enredadera en plataforma lado trasero del local sobre generador de energía agarra equipos </v>
          </cell>
          <cell r="D262"/>
        </row>
        <row r="263">
          <cell r="B263"/>
          <cell r="C263" t="str">
            <v>miniplit y otras instalaciones. Podar.</v>
          </cell>
          <cell r="D263"/>
        </row>
        <row r="264">
          <cell r="B264"/>
        </row>
        <row r="265">
          <cell r="B265"/>
        </row>
        <row r="266">
          <cell r="B266"/>
        </row>
        <row r="267">
          <cell r="B267"/>
        </row>
        <row r="268">
          <cell r="B268"/>
        </row>
        <row r="269">
          <cell r="B269"/>
        </row>
        <row r="270">
          <cell r="B270"/>
        </row>
        <row r="271">
          <cell r="B271"/>
        </row>
        <row r="272">
          <cell r="B272"/>
        </row>
        <row r="273">
          <cell r="B273"/>
        </row>
        <row r="274">
          <cell r="B274"/>
        </row>
        <row r="275">
          <cell r="B275"/>
        </row>
        <row r="276">
          <cell r="B276"/>
        </row>
        <row r="277">
          <cell r="B277"/>
        </row>
        <row r="278">
          <cell r="B278"/>
        </row>
        <row r="279">
          <cell r="B279"/>
        </row>
        <row r="280">
          <cell r="B280"/>
        </row>
        <row r="281">
          <cell r="B281"/>
        </row>
        <row r="282">
          <cell r="B282"/>
        </row>
        <row r="283">
          <cell r="B283"/>
        </row>
        <row r="284">
          <cell r="B284"/>
        </row>
        <row r="285">
          <cell r="B285"/>
        </row>
        <row r="286">
          <cell r="B286"/>
        </row>
        <row r="287">
          <cell r="B287"/>
        </row>
        <row r="288">
          <cell r="B288"/>
        </row>
        <row r="289">
          <cell r="B289"/>
        </row>
        <row r="290">
          <cell r="B290"/>
        </row>
        <row r="291">
          <cell r="B291"/>
        </row>
        <row r="292">
          <cell r="B292"/>
        </row>
        <row r="293">
          <cell r="B293"/>
        </row>
        <row r="294">
          <cell r="B294"/>
        </row>
        <row r="295">
          <cell r="B295"/>
        </row>
        <row r="296">
          <cell r="B296"/>
        </row>
        <row r="297">
          <cell r="B297"/>
        </row>
        <row r="298">
          <cell r="B298"/>
        </row>
        <row r="299">
          <cell r="B299"/>
        </row>
        <row r="300">
          <cell r="B300"/>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6K3EVJCZOHUNELZ27QLKU2QXZX">
      <xxl21:absoluteUrl r:id="rId2"/>
    </xxl21:alternateUrls>
    <sheetNames>
      <sheetName val="Informe"/>
      <sheetName val="ROOFTOP"/>
      <sheetName val="SPLITS"/>
      <sheetName val="MINISPLITS"/>
    </sheetNames>
    <sheetDataSet>
      <sheetData sheetId="0">
        <row r="5">
          <cell r="B5" t="str">
            <v>SUCURSAL:</v>
          </cell>
          <cell r="C5" t="str">
            <v>DISCO 25</v>
          </cell>
        </row>
        <row r="7">
          <cell r="B7" t="str">
            <v>1   AIRE ACONDICIONADO</v>
          </cell>
          <cell r="C7"/>
          <cell r="D7"/>
        </row>
        <row r="9">
          <cell r="B9" t="str">
            <v>CD/CI_x000D_
Sucursal</v>
          </cell>
          <cell r="C9">
            <v>0.8571428571428571</v>
          </cell>
        </row>
        <row r="11">
          <cell r="B11" t="str">
            <v>Código</v>
          </cell>
          <cell r="C11"/>
          <cell r="D11" t="str">
            <v>Estado del equipo</v>
          </cell>
        </row>
        <row r="12">
          <cell r="B12" t="str">
            <v>Equipo</v>
          </cell>
          <cell r="C12" t="str">
            <v>Intercambiadores</v>
          </cell>
          <cell r="D12" t="str">
            <v>Gabinete</v>
          </cell>
        </row>
        <row r="13">
          <cell r="B13" t="str">
            <v>D25_R_01</v>
          </cell>
          <cell r="C13">
            <v>3</v>
          </cell>
          <cell r="D13">
            <v>3</v>
          </cell>
        </row>
        <row r="14">
          <cell r="B14" t="str">
            <v>D25_R_02</v>
          </cell>
          <cell r="C14">
            <v>3</v>
          </cell>
          <cell r="D14">
            <v>3</v>
          </cell>
        </row>
        <row r="15">
          <cell r="B15" t="str">
            <v>D25_S_01</v>
          </cell>
          <cell r="C15">
            <v>3</v>
          </cell>
          <cell r="D15">
            <v>3</v>
          </cell>
        </row>
        <row r="16">
          <cell r="B16" t="str">
            <v>D25_S_02</v>
          </cell>
          <cell r="C16">
            <v>2</v>
          </cell>
          <cell r="D16">
            <v>3</v>
          </cell>
        </row>
        <row r="17">
          <cell r="B17" t="str">
            <v>D25_S_03</v>
          </cell>
          <cell r="C17">
            <v>2</v>
          </cell>
          <cell r="D17">
            <v>3</v>
          </cell>
        </row>
        <row r="18">
          <cell r="B18"/>
        </row>
        <row r="19">
          <cell r="B19" t="str">
            <v>Comentarios:</v>
          </cell>
          <cell r="C19" t="str">
            <v>Rejillas de extracción de aire en cielorraso muy sucias. Limpiar.</v>
          </cell>
          <cell r="D19"/>
        </row>
        <row r="20">
          <cell r="B20" t="str">
            <v>S_01/S_03</v>
          </cell>
          <cell r="C20" t="str">
            <v>Intercambiadores exteriores sucios.</v>
          </cell>
          <cell r="D20"/>
        </row>
        <row r="21">
          <cell r="B21" t="str">
            <v>S_02</v>
          </cell>
          <cell r="C21" t="str">
            <v>Unidad interior no arroja aire. Luz amarilla de display se enciende de forma intermitente.</v>
          </cell>
          <cell r="D21"/>
        </row>
        <row r="51">
          <cell r="D51"/>
        </row>
        <row r="52">
          <cell r="D5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B95" t="str">
            <v>2   ELÉCTRICA</v>
          </cell>
          <cell r="C95"/>
          <cell r="D95"/>
        </row>
        <row r="97">
          <cell r="B97" t="str">
            <v>Código</v>
          </cell>
          <cell r="C97" t="str">
            <v>Estado</v>
          </cell>
          <cell r="D97" t="str">
            <v>Mantenimiento</v>
          </cell>
        </row>
        <row r="98">
          <cell r="B98" t="str">
            <v>Generador</v>
          </cell>
          <cell r="C98" t="str">
            <v>Generador</v>
          </cell>
          <cell r="D98" t="str">
            <v>Proveedor</v>
          </cell>
        </row>
        <row r="99">
          <cell r="B99" t="str">
            <v>D25_G_01</v>
          </cell>
          <cell r="C99">
            <v>3</v>
          </cell>
          <cell r="D99">
            <v>3</v>
          </cell>
        </row>
        <row r="100">
          <cell r="B100"/>
          <cell r="C100"/>
          <cell r="D100"/>
        </row>
        <row r="101">
          <cell r="B101" t="str">
            <v>GENERADOR</v>
          </cell>
          <cell r="C101"/>
          <cell r="D101" t="str">
            <v>Estado</v>
          </cell>
        </row>
        <row r="102">
          <cell r="B102" t="str">
            <v>Tanque de combustible</v>
          </cell>
          <cell r="C102"/>
          <cell r="D102">
            <v>0.7</v>
          </cell>
        </row>
        <row r="103">
          <cell r="B103" t="str">
            <v>Batería</v>
          </cell>
          <cell r="C103"/>
          <cell r="D103" t="str">
            <v>OK</v>
          </cell>
        </row>
        <row r="104">
          <cell r="B104" t="str">
            <v>Agua</v>
          </cell>
          <cell r="C104"/>
          <cell r="D104" t="str">
            <v>OK</v>
          </cell>
        </row>
        <row r="105">
          <cell r="B105" t="str">
            <v>Aceite</v>
          </cell>
          <cell r="C105"/>
          <cell r="D105" t="str">
            <v>OK</v>
          </cell>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B143" t="str">
            <v>SUBESTACIÓN</v>
          </cell>
          <cell r="C143"/>
          <cell r="D143" t="str">
            <v>Estado</v>
          </cell>
        </row>
        <row r="144">
          <cell r="B144" t="str">
            <v>Objetos extraños</v>
          </cell>
          <cell r="C144"/>
          <cell r="D144" t="str">
            <v>OK</v>
          </cell>
        </row>
        <row r="145">
          <cell r="B145" t="str">
            <v>Filtraciones de agua</v>
          </cell>
          <cell r="C145"/>
          <cell r="D145" t="str">
            <v>OK</v>
          </cell>
        </row>
        <row r="146">
          <cell r="B146" t="str">
            <v>Tableros eléctricos</v>
          </cell>
          <cell r="C146"/>
          <cell r="D146" t="str">
            <v>OK</v>
          </cell>
        </row>
        <row r="147">
          <cell r="B147" t="str">
            <v>Bancos de _x000D_condensadores</v>
          </cell>
          <cell r="C147"/>
          <cell r="D147" t="str">
            <v>OK</v>
          </cell>
        </row>
        <row r="148">
          <cell r="D148"/>
        </row>
        <row r="149">
          <cell r="B149" t="str">
            <v>Comentarios:</v>
          </cell>
          <cell r="C149" t="str">
            <v>Pestillo de tablero secundario roto.</v>
          </cell>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B177" t="str">
            <v>UPS</v>
          </cell>
          <cell r="C177"/>
          <cell r="D177" t="str">
            <v>Estado</v>
          </cell>
        </row>
        <row r="178">
          <cell r="B178" t="str">
            <v>Aire acondicionado dedicado</v>
          </cell>
          <cell r="C178"/>
          <cell r="D178" t="str">
            <v>OK</v>
          </cell>
        </row>
        <row r="179">
          <cell r="B179" t="str">
            <v>Estado de carga de baterías</v>
          </cell>
          <cell r="C179"/>
          <cell r="D179" t="str">
            <v>OK</v>
          </cell>
        </row>
        <row r="180">
          <cell r="B180"/>
          <cell r="C180"/>
        </row>
        <row r="181">
          <cell r="B181"/>
        </row>
        <row r="182">
          <cell r="B182"/>
        </row>
        <row r="183">
          <cell r="B183"/>
        </row>
        <row r="184">
          <cell r="B184"/>
        </row>
        <row r="185">
          <cell r="B185"/>
        </row>
        <row r="190">
          <cell r="B190" t="str">
            <v>3   GAS</v>
          </cell>
          <cell r="C190"/>
          <cell r="D190"/>
        </row>
        <row r="192">
          <cell r="B192" t="str">
            <v>GAS</v>
          </cell>
          <cell r="C192"/>
          <cell r="D192" t="str">
            <v>Estado</v>
          </cell>
        </row>
        <row r="193">
          <cell r="B193" t="str">
            <v>Flexibles autorizados</v>
          </cell>
          <cell r="C193"/>
          <cell r="D193" t="str">
            <v>OK</v>
          </cell>
        </row>
        <row r="194">
          <cell r="B194" t="str">
            <v>Sistema de corte por pánico</v>
          </cell>
          <cell r="C194"/>
          <cell r="D194" t="str">
            <v>OK</v>
          </cell>
        </row>
        <row r="195">
          <cell r="C195"/>
          <cell r="D195"/>
        </row>
        <row r="196">
          <cell r="B196" t="str">
            <v>Comentarios:</v>
          </cell>
          <cell r="C196"/>
          <cell r="D196"/>
        </row>
        <row r="197">
          <cell r="C197"/>
          <cell r="D197"/>
        </row>
        <row r="198">
          <cell r="C198"/>
          <cell r="D198"/>
        </row>
        <row r="199">
          <cell r="C199"/>
          <cell r="D199"/>
        </row>
        <row r="200">
          <cell r="C200"/>
          <cell r="D200"/>
        </row>
        <row r="201">
          <cell r="C201"/>
          <cell r="D201"/>
        </row>
        <row r="202">
          <cell r="C202"/>
          <cell r="D202"/>
        </row>
        <row r="203">
          <cell r="C203"/>
          <cell r="D203"/>
        </row>
        <row r="204">
          <cell r="C204"/>
          <cell r="D204"/>
        </row>
        <row r="205">
          <cell r="C205"/>
          <cell r="D205"/>
        </row>
        <row r="206">
          <cell r="C206"/>
          <cell r="D206"/>
        </row>
        <row r="207">
          <cell r="C207"/>
          <cell r="D207"/>
        </row>
        <row r="208">
          <cell r="C208"/>
          <cell r="D208"/>
        </row>
        <row r="209">
          <cell r="C209"/>
          <cell r="D209"/>
        </row>
        <row r="210">
          <cell r="C210"/>
          <cell r="D210"/>
        </row>
        <row r="211">
          <cell r="C211"/>
          <cell r="D211"/>
        </row>
        <row r="212">
          <cell r="C212"/>
          <cell r="D212"/>
        </row>
        <row r="213">
          <cell r="C213"/>
          <cell r="D213"/>
        </row>
        <row r="214">
          <cell r="B214" t="str">
            <v>4   OBSERVACIONES GENERALES</v>
          </cell>
          <cell r="C214"/>
          <cell r="D214"/>
        </row>
        <row r="215">
          <cell r="C215"/>
          <cell r="D215"/>
        </row>
        <row r="216">
          <cell r="B216" t="str">
            <v>Comentarios:</v>
          </cell>
          <cell r="C216"/>
          <cell r="D216"/>
        </row>
        <row r="217">
          <cell r="C217"/>
          <cell r="D217"/>
        </row>
        <row r="218">
          <cell r="C218"/>
          <cell r="D218"/>
        </row>
        <row r="219">
          <cell r="C219"/>
          <cell r="D219"/>
        </row>
        <row r="220">
          <cell r="C220"/>
          <cell r="D220"/>
        </row>
        <row r="221">
          <cell r="C221"/>
          <cell r="D221"/>
        </row>
        <row r="222">
          <cell r="C222"/>
          <cell r="D222"/>
        </row>
        <row r="223">
          <cell r="C223"/>
          <cell r="D223"/>
        </row>
        <row r="224">
          <cell r="C224"/>
          <cell r="D224"/>
        </row>
        <row r="225">
          <cell r="C225"/>
          <cell r="D225"/>
        </row>
        <row r="226">
          <cell r="C226"/>
          <cell r="D226"/>
        </row>
        <row r="227">
          <cell r="C227"/>
          <cell r="D227"/>
        </row>
        <row r="228">
          <cell r="C228"/>
          <cell r="D228"/>
        </row>
        <row r="229">
          <cell r="C229"/>
          <cell r="D229"/>
        </row>
        <row r="230">
          <cell r="C230"/>
          <cell r="D230"/>
        </row>
        <row r="231">
          <cell r="C231"/>
          <cell r="D231"/>
        </row>
        <row r="232">
          <cell r="C232"/>
          <cell r="D232"/>
        </row>
        <row r="233">
          <cell r="C233"/>
          <cell r="D233"/>
        </row>
        <row r="234">
          <cell r="C234"/>
          <cell r="D234"/>
        </row>
        <row r="235">
          <cell r="C235"/>
          <cell r="D235"/>
        </row>
        <row r="236">
          <cell r="C236"/>
          <cell r="D236"/>
        </row>
        <row r="237">
          <cell r="C237"/>
          <cell r="D237"/>
        </row>
        <row r="238">
          <cell r="C238"/>
          <cell r="D238"/>
        </row>
        <row r="239">
          <cell r="C239"/>
          <cell r="D239"/>
        </row>
        <row r="240">
          <cell r="C240"/>
          <cell r="D240"/>
        </row>
      </sheetData>
      <sheetData sheetId="1"/>
      <sheetData sheetId="2"/>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YEMFYEMVPYRFIZDNJCRKRK7DU">
      <xxl21:absoluteUrl r:id="rId2"/>
    </xxl21:alternateUrls>
    <sheetNames>
      <sheetName val="Informe"/>
      <sheetName val="SPLITS"/>
      <sheetName val="MINISPLITS"/>
    </sheetNames>
    <sheetDataSet>
      <sheetData sheetId="0">
        <row r="5">
          <cell r="B5" t="str">
            <v>SUCURSAL:</v>
          </cell>
          <cell r="C5" t="str">
            <v>DISCO 26</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D26_S_01</v>
          </cell>
          <cell r="C13">
            <v>3</v>
          </cell>
          <cell r="D13">
            <v>3</v>
          </cell>
        </row>
        <row r="14">
          <cell r="B14" t="str">
            <v>D26_S_02</v>
          </cell>
          <cell r="C14">
            <v>3</v>
          </cell>
          <cell r="D14">
            <v>3</v>
          </cell>
        </row>
        <row r="15">
          <cell r="B15" t="str">
            <v>D26_S_03</v>
          </cell>
          <cell r="C15">
            <v>1</v>
          </cell>
          <cell r="D15">
            <v>2</v>
          </cell>
        </row>
        <row r="16">
          <cell r="B16"/>
          <cell r="C16"/>
          <cell r="D16"/>
        </row>
        <row r="17">
          <cell r="B17" t="str">
            <v>Comentarios:</v>
          </cell>
          <cell r="C17" t="str">
            <v>S_02</v>
          </cell>
          <cell r="D17" t="str">
            <v>Bandeja de recolección de agua caída.</v>
          </cell>
        </row>
        <row r="18">
          <cell r="B18" t="str">
            <v>S_01</v>
          </cell>
          <cell r="C18" t="str">
            <v>Rejilla en  unidad interior zafada.</v>
          </cell>
          <cell r="D18"/>
        </row>
        <row r="19">
          <cell r="B19" t="str">
            <v>S_01-S_03</v>
          </cell>
          <cell r="C19" t="str">
            <v>Desagüe zafado. Reparar.</v>
          </cell>
          <cell r="D19"/>
        </row>
        <row r="20">
          <cell r="D20"/>
        </row>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t="str">
            <v>2   ELÉCTRICA</v>
          </cell>
          <cell r="C75"/>
          <cell r="D75"/>
        </row>
        <row r="77">
          <cell r="B77" t="str">
            <v>Código</v>
          </cell>
          <cell r="C77" t="str">
            <v>Estado</v>
          </cell>
          <cell r="D77" t="str">
            <v>Mantenimiento</v>
          </cell>
        </row>
        <row r="78">
          <cell r="B78" t="str">
            <v>Generador</v>
          </cell>
          <cell r="C78" t="str">
            <v>Generador</v>
          </cell>
          <cell r="D78" t="str">
            <v>Proveedor</v>
          </cell>
        </row>
        <row r="79">
          <cell r="B79" t="str">
            <v>D26_G_01</v>
          </cell>
          <cell r="C79">
            <v>2</v>
          </cell>
          <cell r="D79">
            <v>2</v>
          </cell>
        </row>
        <row r="80">
          <cell r="B80"/>
          <cell r="C80"/>
        </row>
        <row r="81">
          <cell r="B81" t="str">
            <v>GENERADOR</v>
          </cell>
          <cell r="C81"/>
          <cell r="D81" t="str">
            <v>Estado</v>
          </cell>
        </row>
        <row r="82">
          <cell r="B82" t="str">
            <v>Tanque de combustible</v>
          </cell>
          <cell r="C82"/>
          <cell r="D82">
            <v>0.6</v>
          </cell>
        </row>
        <row r="83">
          <cell r="B83" t="str">
            <v>Batería</v>
          </cell>
          <cell r="C83"/>
          <cell r="D83" t="str">
            <v>OK</v>
          </cell>
        </row>
        <row r="84">
          <cell r="B84" t="str">
            <v>Agua</v>
          </cell>
          <cell r="C84"/>
          <cell r="D84" t="str">
            <v>OK</v>
          </cell>
        </row>
        <row r="85">
          <cell r="B85" t="str">
            <v>Lubricante</v>
          </cell>
          <cell r="C85"/>
          <cell r="D85" t="str">
            <v>OK</v>
          </cell>
        </row>
        <row r="86">
          <cell r="B86"/>
          <cell r="D86"/>
        </row>
        <row r="87">
          <cell r="B87" t="str">
            <v>Comentarios:</v>
          </cell>
          <cell r="C87" t="str">
            <v xml:space="preserve">Realizar mantenimiento al balancín del escape ya que queda abierto durante el </v>
          </cell>
          <cell r="D87"/>
        </row>
        <row r="88">
          <cell r="B88"/>
          <cell r="C88" t="str">
            <v>no-funcionamiento.</v>
          </cell>
          <cell r="D88"/>
        </row>
        <row r="89">
          <cell r="B89"/>
          <cell r="C89" t="str">
            <v>Controlar pérdidas observadas bajo el generador.</v>
          </cell>
          <cell r="D89"/>
        </row>
        <row r="133">
          <cell r="B133" t="str">
            <v>SUBESTACIÓN</v>
          </cell>
          <cell r="C133"/>
          <cell r="D133" t="str">
            <v>Estado</v>
          </cell>
        </row>
        <row r="134">
          <cell r="B134" t="str">
            <v>Objetos extraños</v>
          </cell>
          <cell r="C134"/>
          <cell r="D134" t="str">
            <v>OK</v>
          </cell>
        </row>
        <row r="135">
          <cell r="B135" t="str">
            <v>Filtraciones de agua</v>
          </cell>
          <cell r="C135"/>
          <cell r="D135" t="str">
            <v>OK</v>
          </cell>
        </row>
        <row r="136">
          <cell r="B136" t="str">
            <v>Tableros eléctricos</v>
          </cell>
          <cell r="C136"/>
          <cell r="D136" t="str">
            <v>NO OK</v>
          </cell>
        </row>
        <row r="137">
          <cell r="B137" t="str">
            <v>Bancos de 
condensadores</v>
          </cell>
          <cell r="C137"/>
          <cell r="D137" t="str">
            <v>OK</v>
          </cell>
        </row>
        <row r="138">
          <cell r="D138"/>
        </row>
        <row r="139">
          <cell r="B139" t="str">
            <v>Comentarios:</v>
          </cell>
          <cell r="C139" t="str">
            <v>Bandeja Daisa en salida a azotea sin tapa. Colocar.</v>
          </cell>
          <cell r="D139"/>
        </row>
        <row r="140">
          <cell r="B140"/>
          <cell r="C140" t="str">
            <v>Cierre de puerta de gabinete derecho roto.</v>
          </cell>
          <cell r="D140"/>
        </row>
        <row r="142">
          <cell r="B142"/>
          <cell r="C142"/>
          <cell r="D142"/>
        </row>
        <row r="199">
          <cell r="B199" t="str">
            <v>UPS</v>
          </cell>
          <cell r="C199"/>
          <cell r="D199" t="str">
            <v>Estado</v>
          </cell>
        </row>
        <row r="200">
          <cell r="B200" t="str">
            <v>UPS en linea</v>
          </cell>
          <cell r="C200"/>
          <cell r="D200" t="str">
            <v>OK</v>
          </cell>
        </row>
        <row r="201">
          <cell r="B201" t="str">
            <v xml:space="preserve">Aire acondicionado dedicado </v>
          </cell>
          <cell r="C201"/>
          <cell r="D201" t="str">
            <v>OK</v>
          </cell>
        </row>
        <row r="202">
          <cell r="B202" t="str">
            <v>Estado de carga de baterías</v>
          </cell>
          <cell r="C202"/>
          <cell r="D202" t="str">
            <v>OK</v>
          </cell>
        </row>
        <row r="204">
          <cell r="B204"/>
          <cell r="C204"/>
        </row>
        <row r="208">
          <cell r="B208"/>
          <cell r="C208"/>
          <cell r="D208"/>
        </row>
        <row r="209">
          <cell r="B209"/>
          <cell r="C209"/>
          <cell r="D209"/>
        </row>
        <row r="210">
          <cell r="B210"/>
          <cell r="C210"/>
          <cell r="D210"/>
        </row>
        <row r="212">
          <cell r="B212" t="str">
            <v>3   GAS</v>
          </cell>
          <cell r="C212"/>
          <cell r="D212"/>
        </row>
        <row r="214">
          <cell r="B214" t="str">
            <v>GAS</v>
          </cell>
          <cell r="C214"/>
          <cell r="D214" t="str">
            <v>Estado</v>
          </cell>
        </row>
        <row r="215">
          <cell r="B215" t="str">
            <v>Flexibles autorizados</v>
          </cell>
          <cell r="C215"/>
          <cell r="D215" t="str">
            <v>OK</v>
          </cell>
        </row>
        <row r="216">
          <cell r="B216" t="str">
            <v>Sistema de corte por pánico</v>
          </cell>
          <cell r="C216"/>
          <cell r="D216" t="str">
            <v>OK</v>
          </cell>
        </row>
        <row r="217">
          <cell r="C217"/>
          <cell r="D217"/>
        </row>
        <row r="218">
          <cell r="C218"/>
          <cell r="D218"/>
        </row>
      </sheetData>
      <sheetData sheetId="1"/>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2NFNAAAIV6GBG2O7MP7VKN3NEF">
      <xxl21:absoluteUrl r:id="rId2"/>
    </xxl21:alternateUrls>
    <sheetNames>
      <sheetName val="Informe"/>
    </sheetNames>
    <sheetDataSet>
      <sheetData sheetId="0">
        <row r="5">
          <cell r="B5" t="str">
            <v>DISCO 27</v>
          </cell>
          <cell r="D5"/>
        </row>
        <row r="7">
          <cell r="B7"/>
          <cell r="C7"/>
          <cell r="D7"/>
        </row>
        <row r="9">
          <cell r="B9">
            <v>0.9285714285714286</v>
          </cell>
          <cell r="D9" t="str">
            <v>Mantenimiento ARGUL</v>
          </cell>
        </row>
        <row r="11">
          <cell r="B11"/>
          <cell r="C11" t="str">
            <v>Estado del equipo</v>
          </cell>
          <cell r="D11"/>
        </row>
        <row r="12">
          <cell r="B12" t="str">
            <v>Intercambiadores</v>
          </cell>
          <cell r="C12" t="str">
            <v>Gabinete</v>
          </cell>
          <cell r="D12" t="str">
            <v>Desagües/Aislac.</v>
          </cell>
        </row>
        <row r="13">
          <cell r="B13">
            <v>2</v>
          </cell>
          <cell r="C13">
            <v>2</v>
          </cell>
          <cell r="D13">
            <v>3</v>
          </cell>
        </row>
        <row r="14">
          <cell r="B14">
            <v>2</v>
          </cell>
          <cell r="C14">
            <v>2</v>
          </cell>
          <cell r="D14">
            <v>3</v>
          </cell>
        </row>
        <row r="15">
          <cell r="B15">
            <v>2</v>
          </cell>
          <cell r="C15">
            <v>2</v>
          </cell>
          <cell r="D15">
            <v>1</v>
          </cell>
        </row>
        <row r="16">
          <cell r="B16">
            <v>2</v>
          </cell>
          <cell r="C16">
            <v>2</v>
          </cell>
          <cell r="D16">
            <v>1</v>
          </cell>
        </row>
        <row r="17">
          <cell r="B17">
            <v>2</v>
          </cell>
          <cell r="C17">
            <v>2</v>
          </cell>
          <cell r="D17">
            <v>1</v>
          </cell>
        </row>
        <row r="18">
          <cell r="B18">
            <v>2</v>
          </cell>
          <cell r="C18">
            <v>2</v>
          </cell>
          <cell r="D18">
            <v>1</v>
          </cell>
        </row>
        <row r="19">
          <cell r="B19">
            <v>2</v>
          </cell>
          <cell r="C19">
            <v>2</v>
          </cell>
          <cell r="D19">
            <v>1</v>
          </cell>
        </row>
        <row r="20">
          <cell r="C20"/>
          <cell r="D20"/>
        </row>
        <row r="21">
          <cell r="B21" t="str">
            <v>Rejillas de extracción de aire en salón muy sucias. Limpiar.</v>
          </cell>
          <cell r="C21"/>
          <cell r="D21"/>
        </row>
        <row r="22">
          <cell r="B22" t="str">
            <v>Desagüe tapado. Agua de condensación cae sobre ductos y losa.</v>
          </cell>
          <cell r="C22"/>
          <cell r="D22"/>
        </row>
        <row r="23">
          <cell r="B23" t="str">
            <v>Intercambiadores interiores muy sucios y deteriorados.</v>
          </cell>
          <cell r="C23"/>
          <cell r="D23"/>
        </row>
        <row r="24">
          <cell r="B24" t="str">
            <v>Parte inferior de gabinete oxidada. Controlar.</v>
          </cell>
          <cell r="C24"/>
          <cell r="D24"/>
        </row>
        <row r="25">
          <cell r="B25" t="str">
            <v>Sin sifón en desagüe. Cae sobre bandeja de recolección.</v>
          </cell>
          <cell r="C25"/>
          <cell r="D25"/>
        </row>
        <row r="26">
          <cell r="B26" t="str">
            <v>Desagü zafado sin canalizar.</v>
          </cell>
          <cell r="C26"/>
          <cell r="D26"/>
        </row>
        <row r="27">
          <cell r="B27" t="str">
            <v xml:space="preserve">Correa floja. </v>
          </cell>
          <cell r="C27"/>
          <cell r="D27"/>
        </row>
        <row r="28">
          <cell r="B28" t="str">
            <v>Modificar ruteo de desagüe, el mismo impide la correcta apertura de la puerta para acceso a filtros.</v>
          </cell>
          <cell r="C28"/>
          <cell r="D28"/>
        </row>
        <row r="29">
          <cell r="B29" t="str">
            <v>Filtros sucios.</v>
          </cell>
          <cell r="C29"/>
          <cell r="D29"/>
        </row>
        <row r="30">
          <cell r="B30" t="str">
            <v>Intercambiadores interiores sucios y en mal estado.</v>
          </cell>
          <cell r="C30"/>
          <cell r="D30"/>
        </row>
        <row r="147">
          <cell r="B147"/>
          <cell r="C147"/>
          <cell r="D147"/>
        </row>
        <row r="149">
          <cell r="B149" t="str">
            <v>Estado</v>
          </cell>
          <cell r="C149" t="str">
            <v>Mantenimiento</v>
          </cell>
          <cell r="D149" t="str">
            <v>Vigencia</v>
          </cell>
        </row>
        <row r="150">
          <cell r="B150" t="str">
            <v>Generador</v>
          </cell>
          <cell r="C150" t="str">
            <v>Proveedor</v>
          </cell>
          <cell r="D150" t="str">
            <v>tecnológica</v>
          </cell>
        </row>
        <row r="151">
          <cell r="B151">
            <v>3</v>
          </cell>
          <cell r="C151">
            <v>1</v>
          </cell>
          <cell r="D151">
            <v>3</v>
          </cell>
        </row>
        <row r="153">
          <cell r="B153"/>
          <cell r="C153" t="str">
            <v>Estado</v>
          </cell>
          <cell r="D153" t="str">
            <v>Observaciones</v>
          </cell>
        </row>
        <row r="154">
          <cell r="B154"/>
          <cell r="C154">
            <v>1</v>
          </cell>
          <cell r="D154"/>
        </row>
        <row r="155">
          <cell r="B155"/>
          <cell r="C155" t="str">
            <v>OK</v>
          </cell>
          <cell r="D155"/>
        </row>
        <row r="156">
          <cell r="B156"/>
          <cell r="C156" t="str">
            <v>OK</v>
          </cell>
          <cell r="D156"/>
        </row>
        <row r="157">
          <cell r="B157"/>
          <cell r="C157" t="str">
            <v>OK</v>
          </cell>
          <cell r="D157"/>
        </row>
        <row r="158">
          <cell r="C158"/>
          <cell r="D158"/>
        </row>
        <row r="159">
          <cell r="B159" t="str">
            <v>Retirar carros y otros elementos acopiados frente a sala de generador y tableros.</v>
          </cell>
          <cell r="C159"/>
          <cell r="D159"/>
        </row>
        <row r="160">
          <cell r="B160" t="str">
            <v>Reparar celosía de puerda de acceso a sala de generador y tableros.</v>
          </cell>
          <cell r="C160"/>
          <cell r="D160"/>
        </row>
        <row r="191">
          <cell r="B191"/>
          <cell r="C191" t="str">
            <v>Estado</v>
          </cell>
          <cell r="D191" t="str">
            <v>Observaciones</v>
          </cell>
        </row>
        <row r="192">
          <cell r="B192"/>
          <cell r="C192" t="str">
            <v>OK</v>
          </cell>
          <cell r="D192"/>
        </row>
        <row r="193">
          <cell r="B193"/>
          <cell r="C193" t="str">
            <v>OK</v>
          </cell>
          <cell r="D193"/>
        </row>
        <row r="194">
          <cell r="B194"/>
          <cell r="C194" t="str">
            <v>OK</v>
          </cell>
          <cell r="D194"/>
        </row>
        <row r="195">
          <cell r="B195"/>
          <cell r="C195" t="str">
            <v>OK</v>
          </cell>
          <cell r="D195" t="str">
            <v xml:space="preserve">fp: 0,974 ind. </v>
          </cell>
        </row>
        <row r="197">
          <cell r="B197" t="str">
            <v>Retirar materiales acopiados en estantería sobre transformador.</v>
          </cell>
          <cell r="C197"/>
          <cell r="D197"/>
        </row>
        <row r="198">
          <cell r="B198" t="str">
            <v>Frente muerto del primer gabinete a la derecha desinstalado.</v>
          </cell>
          <cell r="C198"/>
          <cell r="D198"/>
        </row>
        <row r="229">
          <cell r="B229"/>
          <cell r="C229" t="str">
            <v>Estado</v>
          </cell>
          <cell r="D229" t="str">
            <v>Observaciones</v>
          </cell>
        </row>
        <row r="230">
          <cell r="B230"/>
          <cell r="C230" t="str">
            <v>OK</v>
          </cell>
          <cell r="D230"/>
        </row>
        <row r="231">
          <cell r="B231"/>
          <cell r="C231" t="str">
            <v>OK</v>
          </cell>
          <cell r="D231"/>
        </row>
        <row r="232">
          <cell r="B232"/>
          <cell r="C232" t="str">
            <v>OK</v>
          </cell>
          <cell r="D232" t="str">
            <v>UPS1: 27%/28°C, UPS2: 37%/32°C</v>
          </cell>
        </row>
        <row r="233">
          <cell r="B233"/>
          <cell r="C233"/>
        </row>
        <row r="234">
          <cell r="B234"/>
          <cell r="C234"/>
        </row>
        <row r="235">
          <cell r="B235"/>
          <cell r="C235"/>
        </row>
        <row r="236">
          <cell r="B236"/>
          <cell r="C236"/>
        </row>
        <row r="237">
          <cell r="B237"/>
          <cell r="C237"/>
        </row>
        <row r="238">
          <cell r="B238"/>
          <cell r="C238"/>
        </row>
        <row r="239">
          <cell r="B239"/>
          <cell r="C239"/>
        </row>
        <row r="240">
          <cell r="B240"/>
          <cell r="C240"/>
        </row>
        <row r="241">
          <cell r="B241"/>
          <cell r="C241"/>
        </row>
        <row r="242">
          <cell r="B242"/>
          <cell r="C242"/>
        </row>
        <row r="243">
          <cell r="B243"/>
          <cell r="C243"/>
          <cell r="D243"/>
        </row>
        <row r="245">
          <cell r="B245"/>
          <cell r="C245" t="str">
            <v>Estado</v>
          </cell>
          <cell r="D245" t="str">
            <v>Observaciones</v>
          </cell>
        </row>
        <row r="246">
          <cell r="B246"/>
          <cell r="C246" t="str">
            <v>OK</v>
          </cell>
          <cell r="D246"/>
        </row>
        <row r="247">
          <cell r="B247"/>
          <cell r="C247" t="str">
            <v>NO OK</v>
          </cell>
          <cell r="D247" t="str">
            <v>Altura inaccesible para todos los empleados.</v>
          </cell>
        </row>
        <row r="248">
          <cell r="B248"/>
          <cell r="C248"/>
          <cell r="D248"/>
        </row>
        <row r="249">
          <cell r="B249" t="str">
            <v>Botón de corte por pánico continúa a una altura inaccesible. Persona de referencia en foto 1,86m. Recolocar.</v>
          </cell>
          <cell r="C249"/>
          <cell r="D249"/>
        </row>
        <row r="279">
          <cell r="B279"/>
          <cell r="C279"/>
          <cell r="D279"/>
        </row>
        <row r="280">
          <cell r="B280"/>
          <cell r="C280"/>
          <cell r="D280"/>
        </row>
        <row r="281">
          <cell r="B281" t="str">
            <v>Vegetales varios creciendo en cubierta y canales de desagüe.</v>
          </cell>
          <cell r="C281"/>
          <cell r="D281"/>
        </row>
        <row r="282">
          <cell r="B282"/>
          <cell r="C282"/>
          <cell r="D282"/>
        </row>
        <row r="283">
          <cell r="B283"/>
          <cell r="C283"/>
          <cell r="D283"/>
        </row>
        <row r="284">
          <cell r="B284"/>
          <cell r="C284"/>
          <cell r="D284"/>
        </row>
        <row r="285">
          <cell r="B285"/>
          <cell r="C285"/>
          <cell r="D285"/>
        </row>
        <row r="286">
          <cell r="B286"/>
          <cell r="C286"/>
          <cell r="D286"/>
        </row>
        <row r="287">
          <cell r="B287"/>
          <cell r="C287"/>
          <cell r="D287"/>
        </row>
        <row r="288">
          <cell r="B288"/>
          <cell r="C288"/>
          <cell r="D288"/>
        </row>
        <row r="289">
          <cell r="B289"/>
          <cell r="C289"/>
          <cell r="D289"/>
        </row>
        <row r="290">
          <cell r="B290"/>
          <cell r="C290"/>
          <cell r="D290"/>
        </row>
        <row r="291">
          <cell r="B291"/>
          <cell r="C291"/>
          <cell r="D291"/>
        </row>
        <row r="292">
          <cell r="B292"/>
          <cell r="C292"/>
          <cell r="D292"/>
        </row>
        <row r="293">
          <cell r="B293"/>
          <cell r="C293"/>
          <cell r="D293"/>
        </row>
        <row r="294">
          <cell r="B294"/>
          <cell r="C294"/>
          <cell r="D294"/>
        </row>
        <row r="295">
          <cell r="B295"/>
          <cell r="C295"/>
          <cell r="D295"/>
        </row>
        <row r="296">
          <cell r="B296"/>
          <cell r="C296"/>
          <cell r="D296"/>
        </row>
        <row r="297">
          <cell r="B297"/>
          <cell r="C297"/>
          <cell r="D297"/>
        </row>
        <row r="298">
          <cell r="B298"/>
          <cell r="C298"/>
          <cell r="D298"/>
        </row>
        <row r="299">
          <cell r="B299"/>
          <cell r="C299"/>
          <cell r="D299"/>
        </row>
        <row r="300">
          <cell r="B300"/>
          <cell r="C300"/>
          <cell r="D300"/>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GH4VL3Q5TT5CYXGWC65JZ5ZNL">
      <xxl21:absoluteUrl r:id="rId2"/>
    </xxl21:alternateUrls>
    <sheetNames>
      <sheetName val="Informe"/>
      <sheetName val="SPLITS"/>
      <sheetName val="MINISPLITS"/>
    </sheetNames>
    <sheetDataSet>
      <sheetData sheetId="0">
        <row r="4">
          <cell r="B4" t="str">
            <v>SUCURSAL:</v>
          </cell>
          <cell r="C4" t="str">
            <v>DISCO 28</v>
          </cell>
        </row>
        <row r="6">
          <cell r="B6" t="str">
            <v>1   AIRE ACONDICIONADO</v>
          </cell>
          <cell r="C6"/>
          <cell r="D6"/>
        </row>
        <row r="8">
          <cell r="B8" t="str">
            <v>CD/CI_x000D_
Sucursal</v>
          </cell>
          <cell r="C8">
            <v>1</v>
          </cell>
        </row>
        <row r="10">
          <cell r="B10" t="str">
            <v>Código</v>
          </cell>
          <cell r="C10"/>
          <cell r="D10" t="str">
            <v>Estado del equipo</v>
          </cell>
        </row>
        <row r="11">
          <cell r="B11" t="str">
            <v>Equipo</v>
          </cell>
          <cell r="C11" t="str">
            <v>Intercambiadores</v>
          </cell>
          <cell r="D11" t="str">
            <v>Gabinete</v>
          </cell>
        </row>
        <row r="12">
          <cell r="B12" t="str">
            <v>D28_UE_01 (1291)</v>
          </cell>
          <cell r="C12">
            <v>2</v>
          </cell>
          <cell r="D12">
            <v>3</v>
          </cell>
        </row>
        <row r="13">
          <cell r="B13" t="str">
            <v>D28_UI_01 (1288)</v>
          </cell>
          <cell r="C13">
            <v>2</v>
          </cell>
          <cell r="D13">
            <v>3</v>
          </cell>
        </row>
        <row r="14">
          <cell r="B14" t="str">
            <v>D28_UI_02 (1289)</v>
          </cell>
          <cell r="C14">
            <v>2</v>
          </cell>
          <cell r="D14">
            <v>3</v>
          </cell>
        </row>
        <row r="15">
          <cell r="B15" t="str">
            <v>D28_UI_03 (1290)</v>
          </cell>
          <cell r="C15">
            <v>2</v>
          </cell>
          <cell r="D15">
            <v>3</v>
          </cell>
        </row>
        <row r="16">
          <cell r="B16" t="str">
            <v>D28_S_01 (1294)</v>
          </cell>
          <cell r="C16">
            <v>2</v>
          </cell>
          <cell r="D16">
            <v>3</v>
          </cell>
        </row>
        <row r="17">
          <cell r="B17" t="str">
            <v>D28_UE_02 (1301)</v>
          </cell>
          <cell r="C17">
            <v>2</v>
          </cell>
          <cell r="D17">
            <v>3</v>
          </cell>
        </row>
        <row r="18">
          <cell r="B18" t="str">
            <v>D28_UI_04 (1272)</v>
          </cell>
          <cell r="C18">
            <v>2</v>
          </cell>
          <cell r="D18">
            <v>3</v>
          </cell>
        </row>
        <row r="19">
          <cell r="B19" t="str">
            <v>D28_UI_05 (1271)</v>
          </cell>
          <cell r="C19">
            <v>2</v>
          </cell>
          <cell r="D19">
            <v>3</v>
          </cell>
        </row>
        <row r="20">
          <cell r="B20" t="str">
            <v>D28_UE_03 (1300)</v>
          </cell>
          <cell r="C20">
            <v>3</v>
          </cell>
          <cell r="D20">
            <v>3</v>
          </cell>
        </row>
        <row r="21">
          <cell r="B21" t="str">
            <v>D28_UI_06 (1270)</v>
          </cell>
          <cell r="C21">
            <v>2</v>
          </cell>
          <cell r="D21">
            <v>3</v>
          </cell>
        </row>
        <row r="22">
          <cell r="B22" t="str">
            <v>D28_UI_07 (1269)</v>
          </cell>
          <cell r="C22">
            <v>2</v>
          </cell>
          <cell r="D22">
            <v>3</v>
          </cell>
        </row>
        <row r="23">
          <cell r="B23" t="str">
            <v>D28_UI_08 (1268)</v>
          </cell>
          <cell r="C23">
            <v>2</v>
          </cell>
          <cell r="D23">
            <v>3</v>
          </cell>
        </row>
        <row r="24">
          <cell r="B24" t="str">
            <v>D28_UI_09 (1267)</v>
          </cell>
          <cell r="C24">
            <v>2</v>
          </cell>
          <cell r="D24">
            <v>3</v>
          </cell>
        </row>
        <row r="25">
          <cell r="B25" t="str">
            <v>D28_UE_04 (1299)</v>
          </cell>
          <cell r="C25">
            <v>3</v>
          </cell>
          <cell r="D25">
            <v>3</v>
          </cell>
        </row>
        <row r="26">
          <cell r="B26" t="str">
            <v>D28_C_01 (1306)</v>
          </cell>
          <cell r="C26">
            <v>3</v>
          </cell>
          <cell r="D26">
            <v>3</v>
          </cell>
        </row>
        <row r="27">
          <cell r="B27" t="str">
            <v>D28_C_02 (1307)</v>
          </cell>
          <cell r="C27">
            <v>3</v>
          </cell>
          <cell r="D27">
            <v>3</v>
          </cell>
        </row>
        <row r="28">
          <cell r="B28" t="str">
            <v>D28_C_03 (1308)</v>
          </cell>
          <cell r="C28">
            <v>3</v>
          </cell>
          <cell r="D28">
            <v>3</v>
          </cell>
        </row>
        <row r="29">
          <cell r="B29" t="str">
            <v>D28_C_04 (1309)</v>
          </cell>
          <cell r="C29">
            <v>3</v>
          </cell>
          <cell r="D29">
            <v>3</v>
          </cell>
        </row>
        <row r="30">
          <cell r="B30" t="str">
            <v>D28_C_05 (1310)</v>
          </cell>
          <cell r="C30">
            <v>3</v>
          </cell>
          <cell r="D30">
            <v>3</v>
          </cell>
        </row>
        <row r="31">
          <cell r="B31" t="str">
            <v>D28_C_06 (1311)</v>
          </cell>
          <cell r="C31">
            <v>3</v>
          </cell>
          <cell r="D31">
            <v>3</v>
          </cell>
        </row>
        <row r="32">
          <cell r="B32" t="str">
            <v>D28_C_07 (1312)</v>
          </cell>
          <cell r="C32">
            <v>3</v>
          </cell>
          <cell r="D32">
            <v>3</v>
          </cell>
        </row>
        <row r="33">
          <cell r="B33" t="str">
            <v>D28_UE_05 (1298)</v>
          </cell>
          <cell r="C33">
            <v>3</v>
          </cell>
          <cell r="D33">
            <v>3</v>
          </cell>
        </row>
        <row r="34">
          <cell r="B34" t="str">
            <v>D28_C_08 (1313)</v>
          </cell>
          <cell r="C34">
            <v>3</v>
          </cell>
          <cell r="D34">
            <v>3</v>
          </cell>
        </row>
        <row r="35">
          <cell r="B35" t="str">
            <v>D28_C_09 (1314)</v>
          </cell>
          <cell r="C35">
            <v>3</v>
          </cell>
          <cell r="D35">
            <v>3</v>
          </cell>
        </row>
        <row r="36">
          <cell r="B36" t="str">
            <v>D28_C_10 (1315)</v>
          </cell>
          <cell r="C36">
            <v>3</v>
          </cell>
          <cell r="D36">
            <v>3</v>
          </cell>
        </row>
        <row r="37">
          <cell r="B37" t="str">
            <v>D28_C_11 (1316)</v>
          </cell>
          <cell r="C37">
            <v>3</v>
          </cell>
          <cell r="D37">
            <v>3</v>
          </cell>
        </row>
        <row r="38">
          <cell r="B38" t="str">
            <v>D28_C_12 (1317)</v>
          </cell>
          <cell r="C38">
            <v>3</v>
          </cell>
          <cell r="D38">
            <v>3</v>
          </cell>
        </row>
        <row r="39">
          <cell r="B39" t="str">
            <v>D28_C_13 (1318)</v>
          </cell>
          <cell r="C39">
            <v>3</v>
          </cell>
          <cell r="D39">
            <v>3</v>
          </cell>
        </row>
        <row r="40">
          <cell r="B40" t="str">
            <v>D28_C_14 (1319)</v>
          </cell>
          <cell r="C40">
            <v>3</v>
          </cell>
          <cell r="D40">
            <v>3</v>
          </cell>
        </row>
        <row r="41">
          <cell r="B41" t="str">
            <v>D28_UE_06 (1297)</v>
          </cell>
          <cell r="C41">
            <v>3</v>
          </cell>
          <cell r="D41">
            <v>3</v>
          </cell>
        </row>
        <row r="42">
          <cell r="B42" t="str">
            <v>D28_C_15 (1320)</v>
          </cell>
          <cell r="C42">
            <v>3</v>
          </cell>
          <cell r="D42">
            <v>3</v>
          </cell>
        </row>
        <row r="43">
          <cell r="B43" t="str">
            <v>D28_C_16 (1321)</v>
          </cell>
          <cell r="C43">
            <v>3</v>
          </cell>
          <cell r="D43">
            <v>3</v>
          </cell>
        </row>
        <row r="44">
          <cell r="B44" t="str">
            <v>D28_C_17 (1322)</v>
          </cell>
          <cell r="C44">
            <v>3</v>
          </cell>
          <cell r="D44">
            <v>3</v>
          </cell>
        </row>
        <row r="45">
          <cell r="B45" t="str">
            <v>D28_C_18 (1323)</v>
          </cell>
          <cell r="C45">
            <v>3</v>
          </cell>
          <cell r="D45">
            <v>3</v>
          </cell>
        </row>
        <row r="46">
          <cell r="B46" t="str">
            <v>D28_C_19 (1324)</v>
          </cell>
          <cell r="C46">
            <v>3</v>
          </cell>
          <cell r="D46">
            <v>3</v>
          </cell>
        </row>
        <row r="47">
          <cell r="B47" t="str">
            <v>D28_C_20 (1325)</v>
          </cell>
          <cell r="C47">
            <v>3</v>
          </cell>
          <cell r="D47">
            <v>3</v>
          </cell>
        </row>
        <row r="48">
          <cell r="B48" t="str">
            <v>D28_C_21 (1326)</v>
          </cell>
          <cell r="C48">
            <v>3</v>
          </cell>
          <cell r="D48">
            <v>3</v>
          </cell>
        </row>
        <row r="49">
          <cell r="B49"/>
          <cell r="C49"/>
        </row>
        <row r="50">
          <cell r="B50" t="str">
            <v>Comentarios:</v>
          </cell>
          <cell r="C50"/>
          <cell r="D50"/>
        </row>
        <row r="51">
          <cell r="B51" t="str">
            <v>UI_04/UI_09</v>
          </cell>
          <cell r="C51" t="str">
            <v>Colocar tapa a bandeja Daisa de acometida eléctrica.</v>
          </cell>
          <cell r="D51"/>
        </row>
        <row r="52">
          <cell r="B52" t="str">
            <v>UI_04/UI_09</v>
          </cell>
          <cell r="C52" t="str">
            <v xml:space="preserve">Ductos abollados por apoyo para paso. </v>
          </cell>
          <cell r="D52"/>
        </row>
        <row r="53">
          <cell r="B53" t="str">
            <v>UI_03</v>
          </cell>
          <cell r="C53" t="str">
            <v>Filtros sucios. Limpiar.</v>
          </cell>
          <cell r="D53"/>
        </row>
        <row r="54">
          <cell r="B54" t="str">
            <v>UE_03/04</v>
          </cell>
          <cell r="C54" t="str">
            <v>Intercambiadores exteriores sucios. Limpiar.</v>
          </cell>
          <cell r="D54"/>
        </row>
        <row r="55">
          <cell r="B55" t="str">
            <v>UI_04/UI_09</v>
          </cell>
          <cell r="C55" t="str">
            <v xml:space="preserve">Ductos abollados por apoyo para paso. </v>
          </cell>
          <cell r="D55"/>
        </row>
        <row r="57">
          <cell r="B57"/>
        </row>
        <row r="58">
          <cell r="B58"/>
        </row>
        <row r="59">
          <cell r="B59"/>
        </row>
        <row r="210">
          <cell r="B210" t="str">
            <v>2   ELÉCTRICA</v>
          </cell>
          <cell r="C210"/>
          <cell r="D210"/>
        </row>
        <row r="212">
          <cell r="B212" t="str">
            <v>Código</v>
          </cell>
          <cell r="C212" t="str">
            <v>Estado</v>
          </cell>
          <cell r="D212" t="str">
            <v>Mantenimiento</v>
          </cell>
        </row>
        <row r="213">
          <cell r="B213" t="str">
            <v>Generador</v>
          </cell>
          <cell r="C213" t="str">
            <v>Generador</v>
          </cell>
          <cell r="D213" t="str">
            <v>Proveedor</v>
          </cell>
        </row>
        <row r="214">
          <cell r="B214" t="str">
            <v>DLC_G_01</v>
          </cell>
          <cell r="C214">
            <v>3</v>
          </cell>
          <cell r="D214">
            <v>3</v>
          </cell>
        </row>
        <row r="216">
          <cell r="B216" t="str">
            <v>GENERADOR</v>
          </cell>
          <cell r="C216"/>
          <cell r="D216" t="str">
            <v>Estado</v>
          </cell>
        </row>
        <row r="217">
          <cell r="B217" t="str">
            <v>Tanque de Combustible</v>
          </cell>
          <cell r="C217"/>
          <cell r="D217">
            <v>1</v>
          </cell>
        </row>
        <row r="218">
          <cell r="B218" t="str">
            <v>Batería</v>
          </cell>
          <cell r="C218"/>
          <cell r="D218" t="str">
            <v>OK</v>
          </cell>
        </row>
        <row r="219">
          <cell r="B219" t="str">
            <v>Liquido refrigerante</v>
          </cell>
          <cell r="C219"/>
          <cell r="D219" t="str">
            <v>OK</v>
          </cell>
        </row>
        <row r="220">
          <cell r="B220" t="str">
            <v>Lubricante</v>
          </cell>
          <cell r="C220"/>
          <cell r="D220" t="str">
            <v>OK</v>
          </cell>
        </row>
        <row r="222">
          <cell r="B222"/>
        </row>
        <row r="223">
          <cell r="B223"/>
        </row>
        <row r="224">
          <cell r="B224"/>
        </row>
        <row r="225">
          <cell r="B225"/>
        </row>
        <row r="226">
          <cell r="B226"/>
        </row>
        <row r="227">
          <cell r="B227"/>
        </row>
        <row r="228">
          <cell r="B228"/>
        </row>
        <row r="229">
          <cell r="B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t="str">
            <v>SUBESTACIÓN</v>
          </cell>
          <cell r="C243"/>
          <cell r="D243" t="str">
            <v>Estado</v>
          </cell>
        </row>
        <row r="244">
          <cell r="B244" t="str">
            <v>Objetos extraños</v>
          </cell>
          <cell r="C244"/>
          <cell r="D244" t="str">
            <v>OK</v>
          </cell>
        </row>
        <row r="245">
          <cell r="B245" t="str">
            <v>Filtraciones de agua</v>
          </cell>
          <cell r="C245"/>
          <cell r="D245" t="str">
            <v>OK</v>
          </cell>
        </row>
        <row r="246">
          <cell r="B246" t="str">
            <v>Tableros eléctricos</v>
          </cell>
          <cell r="C246"/>
          <cell r="D246" t="str">
            <v>OK</v>
          </cell>
        </row>
        <row r="247">
          <cell r="B247" t="str">
            <v>Bancos de _x000D_condensadores</v>
          </cell>
          <cell r="C247"/>
          <cell r="D247" t="str">
            <v>OK</v>
          </cell>
        </row>
        <row r="248">
          <cell r="B248"/>
        </row>
        <row r="249">
          <cell r="B249" t="str">
            <v>Comentarios:</v>
          </cell>
          <cell r="C249" t="str">
            <v>Sustituir placas identificatoria de cada módulo.</v>
          </cell>
          <cell r="D249"/>
        </row>
        <row r="250">
          <cell r="B250"/>
          <cell r="C250" t="str">
            <v>En módulo de Tablero General interruptor QGN barra superior a 44°C. Verificar.</v>
          </cell>
          <cell r="D250"/>
        </row>
        <row r="251">
          <cell r="B251"/>
        </row>
        <row r="252">
          <cell r="B252"/>
        </row>
        <row r="253">
          <cell r="B253"/>
        </row>
        <row r="254">
          <cell r="B254"/>
        </row>
        <row r="255">
          <cell r="B255"/>
        </row>
        <row r="256">
          <cell r="B256"/>
        </row>
        <row r="257">
          <cell r="B257"/>
        </row>
        <row r="258">
          <cell r="B258"/>
        </row>
        <row r="259">
          <cell r="B259"/>
        </row>
        <row r="260">
          <cell r="B260"/>
        </row>
        <row r="261">
          <cell r="B261"/>
        </row>
        <row r="262">
          <cell r="B262"/>
        </row>
        <row r="263">
          <cell r="B263"/>
        </row>
        <row r="264">
          <cell r="B264"/>
        </row>
        <row r="265">
          <cell r="B265"/>
        </row>
        <row r="266">
          <cell r="B266"/>
        </row>
        <row r="267">
          <cell r="B267"/>
        </row>
        <row r="268">
          <cell r="B268"/>
        </row>
        <row r="269">
          <cell r="B269"/>
        </row>
        <row r="270">
          <cell r="B270"/>
        </row>
        <row r="271">
          <cell r="B271"/>
        </row>
        <row r="272">
          <cell r="B272"/>
        </row>
        <row r="273">
          <cell r="B273"/>
        </row>
        <row r="274">
          <cell r="B274"/>
        </row>
        <row r="275">
          <cell r="B275"/>
        </row>
        <row r="276">
          <cell r="B276"/>
        </row>
        <row r="277">
          <cell r="B277"/>
        </row>
        <row r="278">
          <cell r="B278"/>
        </row>
        <row r="279">
          <cell r="B279"/>
        </row>
        <row r="280">
          <cell r="B280"/>
        </row>
        <row r="281">
          <cell r="B281"/>
        </row>
        <row r="282">
          <cell r="B282"/>
        </row>
        <row r="283">
          <cell r="B283"/>
        </row>
        <row r="284">
          <cell r="B284"/>
        </row>
        <row r="285">
          <cell r="B285"/>
        </row>
        <row r="286">
          <cell r="B286"/>
        </row>
        <row r="287">
          <cell r="B287"/>
        </row>
        <row r="288">
          <cell r="B288"/>
        </row>
        <row r="289">
          <cell r="B289"/>
        </row>
        <row r="290">
          <cell r="B290"/>
        </row>
        <row r="291">
          <cell r="B291"/>
        </row>
        <row r="292">
          <cell r="B292"/>
        </row>
        <row r="293">
          <cell r="B293"/>
        </row>
        <row r="294">
          <cell r="B294"/>
        </row>
        <row r="295">
          <cell r="B295"/>
        </row>
        <row r="296">
          <cell r="B296"/>
        </row>
        <row r="297">
          <cell r="B297"/>
        </row>
        <row r="298">
          <cell r="B298"/>
        </row>
        <row r="299">
          <cell r="B299"/>
        </row>
        <row r="300">
          <cell r="B300"/>
        </row>
      </sheetData>
      <sheetData sheetId="1"/>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4IJYCZHUJ755EZC2AM5TRAF2TF">
      <xxl21:absoluteUrl r:id="rId2"/>
    </xxl21:alternateUrls>
    <sheetNames>
      <sheetName val="Informe"/>
    </sheetNames>
    <sheetDataSet>
      <sheetData sheetId="0">
        <row r="4">
          <cell r="B4" t="str">
            <v>SUCURSAL:</v>
          </cell>
          <cell r="C4" t="str">
            <v>DEVOTO 01</v>
          </cell>
        </row>
        <row r="6">
          <cell r="B6" t="str">
            <v>1   AIRE ACONDICIONADO</v>
          </cell>
          <cell r="C6"/>
          <cell r="D6"/>
        </row>
        <row r="8">
          <cell r="B8" t="str">
            <v>CD/CI_x000D_
Sucursal</v>
          </cell>
          <cell r="C8">
            <v>1</v>
          </cell>
        </row>
        <row r="10">
          <cell r="B10" t="str">
            <v>Código</v>
          </cell>
          <cell r="C10"/>
          <cell r="D10" t="str">
            <v>Estado del equipo</v>
          </cell>
        </row>
        <row r="11">
          <cell r="B11" t="str">
            <v>Equipo</v>
          </cell>
          <cell r="C11" t="str">
            <v>Intercambiadores</v>
          </cell>
          <cell r="D11" t="str">
            <v>Gabinete</v>
          </cell>
        </row>
        <row r="12">
          <cell r="B12" t="str">
            <v>DV01_R_01</v>
          </cell>
          <cell r="C12">
            <v>2</v>
          </cell>
          <cell r="D12">
            <v>3</v>
          </cell>
        </row>
        <row r="13">
          <cell r="B13" t="str">
            <v>DV01_R_02</v>
          </cell>
          <cell r="C13">
            <v>3</v>
          </cell>
          <cell r="D13">
            <v>3</v>
          </cell>
        </row>
        <row r="14">
          <cell r="B14" t="str">
            <v>DV01_R_03</v>
          </cell>
          <cell r="C14">
            <v>3</v>
          </cell>
          <cell r="D14">
            <v>3</v>
          </cell>
        </row>
        <row r="15">
          <cell r="B15" t="str">
            <v>DV01_R_04</v>
          </cell>
          <cell r="C15">
            <v>2</v>
          </cell>
          <cell r="D15">
            <v>3</v>
          </cell>
        </row>
        <row r="16">
          <cell r="B16" t="str">
            <v>DV01_R_05</v>
          </cell>
          <cell r="C16">
            <v>3</v>
          </cell>
          <cell r="D16">
            <v>3</v>
          </cell>
        </row>
        <row r="17">
          <cell r="B17" t="str">
            <v>DV01_R_06</v>
          </cell>
          <cell r="C17">
            <v>3</v>
          </cell>
          <cell r="D17">
            <v>3</v>
          </cell>
        </row>
        <row r="18">
          <cell r="B18"/>
          <cell r="C18"/>
          <cell r="D18"/>
        </row>
        <row r="19">
          <cell r="B19" t="str">
            <v>Comentarios:</v>
          </cell>
          <cell r="C19" t="str">
            <v>Rejillas de extracción de aire en salón sucias. Limpiar.</v>
          </cell>
          <cell r="D19"/>
        </row>
        <row r="20">
          <cell r="B20" t="str">
            <v>R_01</v>
          </cell>
          <cell r="C20" t="str">
            <v>Intercambiador exterior sucio. Limpiar.</v>
          </cell>
          <cell r="D20"/>
        </row>
        <row r="21">
          <cell r="B21" t="str">
            <v>R_04</v>
          </cell>
          <cell r="C21" t="str">
            <v>Intercambiador exterior abollado.</v>
          </cell>
          <cell r="D21"/>
        </row>
        <row r="22">
          <cell r="B22" t="str">
            <v>R_01/R_06</v>
          </cell>
          <cell r="C22" t="str">
            <v>Filtros de aire sucios. Limpiar.</v>
          </cell>
          <cell r="D22"/>
        </row>
        <row r="23">
          <cell r="B23"/>
        </row>
        <row r="24">
          <cell r="B24"/>
        </row>
        <row r="25">
          <cell r="B25"/>
        </row>
        <row r="26">
          <cell r="B26"/>
        </row>
        <row r="27">
          <cell r="B27"/>
        </row>
        <row r="29">
          <cell r="B29"/>
        </row>
        <row r="30">
          <cell r="B30"/>
        </row>
        <row r="31">
          <cell r="B31"/>
        </row>
        <row r="109">
          <cell r="B109" t="str">
            <v>2   ELÉCTRICA</v>
          </cell>
          <cell r="C109"/>
          <cell r="D109"/>
        </row>
        <row r="111">
          <cell r="B111" t="str">
            <v>Código</v>
          </cell>
          <cell r="C111" t="str">
            <v>Estado</v>
          </cell>
          <cell r="D111" t="str">
            <v>Mantenimiento</v>
          </cell>
        </row>
        <row r="112">
          <cell r="B112" t="str">
            <v>Generador</v>
          </cell>
          <cell r="C112" t="str">
            <v>Generador</v>
          </cell>
          <cell r="D112" t="str">
            <v>Proveedor</v>
          </cell>
        </row>
        <row r="113">
          <cell r="B113" t="str">
            <v>DV01_G_01</v>
          </cell>
          <cell r="C113">
            <v>2</v>
          </cell>
          <cell r="D113">
            <v>1</v>
          </cell>
        </row>
        <row r="114">
          <cell r="B114"/>
          <cell r="C114"/>
          <cell r="D114"/>
        </row>
        <row r="115">
          <cell r="B115" t="str">
            <v>GENERADOR</v>
          </cell>
          <cell r="C115"/>
          <cell r="D115" t="str">
            <v>Estado</v>
          </cell>
        </row>
        <row r="116">
          <cell r="B116" t="str">
            <v>Tanque de Combustible</v>
          </cell>
          <cell r="C116"/>
          <cell r="D116">
            <v>0.9</v>
          </cell>
        </row>
        <row r="117">
          <cell r="B117" t="str">
            <v>Batería</v>
          </cell>
          <cell r="C117"/>
          <cell r="D117" t="str">
            <v>OK</v>
          </cell>
        </row>
        <row r="118">
          <cell r="B118" t="str">
            <v>Liquido refrigerante</v>
          </cell>
          <cell r="C118"/>
          <cell r="D118" t="str">
            <v>NO OK</v>
          </cell>
        </row>
        <row r="119">
          <cell r="B119" t="str">
            <v>Lubricante</v>
          </cell>
          <cell r="C119"/>
          <cell r="D119" t="str">
            <v>OK</v>
          </cell>
        </row>
        <row r="121">
          <cell r="B121"/>
        </row>
        <row r="122">
          <cell r="B122"/>
        </row>
        <row r="123">
          <cell r="B123"/>
        </row>
        <row r="124">
          <cell r="B124"/>
        </row>
        <row r="125">
          <cell r="B125"/>
        </row>
        <row r="126">
          <cell r="B126"/>
        </row>
        <row r="127">
          <cell r="B127"/>
        </row>
        <row r="128">
          <cell r="B128"/>
        </row>
        <row r="129">
          <cell r="B129"/>
        </row>
        <row r="130">
          <cell r="B130"/>
        </row>
        <row r="147">
          <cell r="B147" t="str">
            <v>SUBESTACIÓN</v>
          </cell>
          <cell r="C147"/>
          <cell r="D147" t="str">
            <v>Estado</v>
          </cell>
        </row>
        <row r="148">
          <cell r="B148" t="str">
            <v>Objetos extraños</v>
          </cell>
          <cell r="C148"/>
          <cell r="D148" t="str">
            <v>OK</v>
          </cell>
        </row>
        <row r="149">
          <cell r="B149" t="str">
            <v>Filtraciones de agua</v>
          </cell>
          <cell r="C149"/>
          <cell r="D149" t="str">
            <v>OK</v>
          </cell>
        </row>
        <row r="150">
          <cell r="B150" t="str">
            <v>Tableros eléctricos</v>
          </cell>
          <cell r="C150"/>
          <cell r="D150" t="str">
            <v>OK</v>
          </cell>
        </row>
        <row r="151">
          <cell r="B151" t="str">
            <v>Bancos de _x000D_condensadores</v>
          </cell>
          <cell r="C151"/>
          <cell r="D151" t="str">
            <v>OK</v>
          </cell>
        </row>
        <row r="152">
          <cell r="D152"/>
        </row>
        <row r="153">
          <cell r="B153" t="str">
            <v>Comentarios:</v>
          </cell>
          <cell r="C153" t="str">
            <v>Interruptor ABB en gabinete display de factor de potencia a 42°C. Verificar.</v>
          </cell>
          <cell r="D153"/>
        </row>
        <row r="154">
          <cell r="D154"/>
        </row>
        <row r="155">
          <cell r="D155"/>
        </row>
        <row r="156">
          <cell r="D156"/>
        </row>
        <row r="157">
          <cell r="B157"/>
        </row>
        <row r="158">
          <cell r="B158"/>
        </row>
        <row r="159">
          <cell r="B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B182" t="str">
            <v>UPS</v>
          </cell>
          <cell r="C182"/>
          <cell r="D182" t="str">
            <v>Estado</v>
          </cell>
        </row>
        <row r="183">
          <cell r="B183" t="str">
            <v>UPS en linea</v>
          </cell>
          <cell r="C183"/>
          <cell r="D183" t="str">
            <v>OK</v>
          </cell>
        </row>
        <row r="184">
          <cell r="B184" t="str">
            <v>Aire acondicionado dedicado</v>
          </cell>
          <cell r="C184"/>
          <cell r="D184" t="str">
            <v>OK</v>
          </cell>
        </row>
        <row r="185">
          <cell r="B185" t="str">
            <v>Estado de carga de baterías</v>
          </cell>
          <cell r="C185"/>
          <cell r="D185" t="str">
            <v>OK</v>
          </cell>
        </row>
        <row r="187">
          <cell r="B187" t="str">
            <v xml:space="preserve">Comentarios: </v>
          </cell>
          <cell r="C187" t="str">
            <v>Presencia contínua de ruido símil zumbido.</v>
          </cell>
          <cell r="D187"/>
        </row>
        <row r="204">
          <cell r="B204" t="str">
            <v>3   GAS</v>
          </cell>
          <cell r="C204"/>
          <cell r="D204"/>
        </row>
        <row r="206">
          <cell r="B206" t="str">
            <v>GAS</v>
          </cell>
          <cell r="C206"/>
          <cell r="D206" t="str">
            <v>Estado</v>
          </cell>
        </row>
        <row r="207">
          <cell r="B207" t="str">
            <v>Flexibles autorizados</v>
          </cell>
          <cell r="C207"/>
          <cell r="D207" t="str">
            <v>OK</v>
          </cell>
        </row>
        <row r="208">
          <cell r="B208" t="str">
            <v>Sistema de corte por pánico</v>
          </cell>
          <cell r="C208"/>
          <cell r="D208" t="str">
            <v>OK</v>
          </cell>
        </row>
        <row r="210">
          <cell r="B210"/>
        </row>
        <row r="211">
          <cell r="B211"/>
        </row>
        <row r="212">
          <cell r="B212"/>
        </row>
        <row r="213">
          <cell r="B213"/>
        </row>
        <row r="214">
          <cell r="B214"/>
        </row>
        <row r="215">
          <cell r="B215"/>
        </row>
        <row r="216">
          <cell r="B216"/>
        </row>
        <row r="217">
          <cell r="B217"/>
        </row>
        <row r="218">
          <cell r="B218"/>
        </row>
        <row r="219">
          <cell r="B219"/>
        </row>
        <row r="220">
          <cell r="B220"/>
        </row>
        <row r="221">
          <cell r="B221"/>
        </row>
        <row r="222">
          <cell r="B222"/>
        </row>
        <row r="223">
          <cell r="B223"/>
        </row>
        <row r="224">
          <cell r="B224"/>
        </row>
        <row r="225">
          <cell r="B225"/>
        </row>
        <row r="226">
          <cell r="B226"/>
        </row>
        <row r="227">
          <cell r="B227"/>
        </row>
        <row r="228">
          <cell r="B228"/>
        </row>
        <row r="229">
          <cell r="B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row>
        <row r="244">
          <cell r="B244"/>
        </row>
        <row r="245">
          <cell r="B245"/>
        </row>
        <row r="246">
          <cell r="B246" t="str">
            <v>4   OBSERVACIONES GENERALES</v>
          </cell>
          <cell r="C246"/>
          <cell r="D246"/>
        </row>
        <row r="247">
          <cell r="B247"/>
        </row>
        <row r="248">
          <cell r="B248" t="str">
            <v xml:space="preserve">Comentarios: </v>
          </cell>
          <cell r="C248" t="str">
            <v>Pilares en entrepiso de sala de máquinas presentan grandes fisuras.</v>
          </cell>
          <cell r="D248"/>
        </row>
        <row r="249">
          <cell r="B249"/>
        </row>
        <row r="250">
          <cell r="B250"/>
        </row>
        <row r="251">
          <cell r="B251"/>
        </row>
        <row r="252">
          <cell r="B252"/>
        </row>
        <row r="253">
          <cell r="B253"/>
        </row>
        <row r="254">
          <cell r="B254"/>
        </row>
        <row r="255">
          <cell r="B255"/>
        </row>
        <row r="256">
          <cell r="B256"/>
        </row>
        <row r="257">
          <cell r="B257"/>
        </row>
        <row r="258">
          <cell r="B258"/>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35CZFLSWDC5GKFGIR4XLHQRQI">
      <xxl21:absoluteUrl r:id="rId2"/>
    </xxl21:alternateUrls>
    <sheetNames>
      <sheetName val="Informe"/>
    </sheetNames>
    <sheetDataSet>
      <sheetData sheetId="0">
        <row r="5">
          <cell r="B5" t="str">
            <v>SUCURSAL:</v>
          </cell>
          <cell r="C5" t="str">
            <v>DEVOTO 02</v>
          </cell>
        </row>
        <row r="6">
          <cell r="B6"/>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DV02_R_01</v>
          </cell>
          <cell r="C13">
            <v>2</v>
          </cell>
          <cell r="D13">
            <v>3</v>
          </cell>
        </row>
        <row r="14">
          <cell r="B14" t="str">
            <v>DV02_R_02</v>
          </cell>
          <cell r="C14">
            <v>2</v>
          </cell>
          <cell r="D14">
            <v>3</v>
          </cell>
        </row>
        <row r="15">
          <cell r="B15"/>
          <cell r="C15"/>
          <cell r="D15"/>
        </row>
        <row r="16">
          <cell r="B16"/>
          <cell r="C16"/>
          <cell r="D16"/>
        </row>
        <row r="17">
          <cell r="B17"/>
          <cell r="C17"/>
          <cell r="D17"/>
        </row>
        <row r="18">
          <cell r="B18"/>
          <cell r="C18"/>
          <cell r="D18"/>
        </row>
        <row r="19">
          <cell r="B19"/>
          <cell r="C19"/>
          <cell r="D19"/>
        </row>
        <row r="20">
          <cell r="B20"/>
          <cell r="C20"/>
          <cell r="D20"/>
        </row>
        <row r="21">
          <cell r="B21"/>
          <cell r="C21"/>
          <cell r="D21"/>
        </row>
        <row r="25">
          <cell r="C25"/>
          <cell r="D25"/>
        </row>
        <row r="26">
          <cell r="B26"/>
          <cell r="C26"/>
          <cell r="D26"/>
        </row>
        <row r="27">
          <cell r="B27"/>
          <cell r="C27"/>
          <cell r="D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cell r="C43"/>
          <cell r="D43"/>
        </row>
        <row r="44">
          <cell r="B44"/>
          <cell r="C44"/>
          <cell r="D44"/>
        </row>
        <row r="45">
          <cell r="B45"/>
          <cell r="C45"/>
          <cell r="D45"/>
        </row>
        <row r="46">
          <cell r="B46"/>
          <cell r="C46"/>
          <cell r="D46"/>
        </row>
        <row r="47">
          <cell r="B47"/>
          <cell r="C47"/>
          <cell r="D47"/>
        </row>
        <row r="48">
          <cell r="B48"/>
          <cell r="C48"/>
          <cell r="D48"/>
        </row>
        <row r="49">
          <cell r="B49"/>
          <cell r="C49"/>
          <cell r="D49"/>
        </row>
        <row r="50">
          <cell r="B50"/>
          <cell r="C50"/>
          <cell r="D50"/>
        </row>
        <row r="51">
          <cell r="B51"/>
          <cell r="C51"/>
          <cell r="D51"/>
        </row>
        <row r="52">
          <cell r="B52" t="str">
            <v>2   ELÉCTRICA</v>
          </cell>
          <cell r="C52"/>
          <cell r="D52"/>
        </row>
        <row r="54">
          <cell r="B54" t="str">
            <v>Código</v>
          </cell>
          <cell r="C54" t="str">
            <v>Estado</v>
          </cell>
          <cell r="D54" t="str">
            <v>Mantenimiento</v>
          </cell>
        </row>
        <row r="55">
          <cell r="B55" t="str">
            <v>Generador</v>
          </cell>
          <cell r="C55" t="str">
            <v>Generador</v>
          </cell>
          <cell r="D55" t="str">
            <v>Proveedor</v>
          </cell>
        </row>
        <row r="56">
          <cell r="B56" t="str">
            <v>DV02_G_01</v>
          </cell>
          <cell r="C56">
            <v>3</v>
          </cell>
          <cell r="D56">
            <v>3</v>
          </cell>
        </row>
        <row r="57">
          <cell r="B57"/>
          <cell r="C57"/>
          <cell r="D57"/>
        </row>
        <row r="58">
          <cell r="B58" t="str">
            <v>GENERADOR</v>
          </cell>
          <cell r="C58"/>
          <cell r="D58" t="str">
            <v>Estado</v>
          </cell>
        </row>
        <row r="59">
          <cell r="B59" t="str">
            <v>Tanque de combustible</v>
          </cell>
          <cell r="C59"/>
          <cell r="D59">
            <v>0.7</v>
          </cell>
        </row>
        <row r="60">
          <cell r="B60" t="str">
            <v>Batería</v>
          </cell>
          <cell r="C60"/>
          <cell r="D60" t="str">
            <v>OK</v>
          </cell>
        </row>
        <row r="61">
          <cell r="B61" t="str">
            <v>Liquido refrigerante</v>
          </cell>
          <cell r="C61"/>
          <cell r="D61" t="str">
            <v>OK</v>
          </cell>
        </row>
        <row r="62">
          <cell r="B62" t="str">
            <v>Aceite</v>
          </cell>
          <cell r="C62"/>
          <cell r="D62" t="str">
            <v>OK</v>
          </cell>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t="str">
            <v>SUBESTACIÓN</v>
          </cell>
          <cell r="C104"/>
          <cell r="D104" t="str">
            <v>Estado</v>
          </cell>
        </row>
        <row r="105">
          <cell r="B105" t="str">
            <v>Objetos extraños</v>
          </cell>
          <cell r="C105"/>
          <cell r="D105" t="str">
            <v>OK</v>
          </cell>
        </row>
        <row r="106">
          <cell r="B106" t="str">
            <v>Filtraciones de agua</v>
          </cell>
          <cell r="C106"/>
          <cell r="D106" t="str">
            <v>OK</v>
          </cell>
        </row>
        <row r="107">
          <cell r="B107" t="str">
            <v>Tableros eléctricos</v>
          </cell>
          <cell r="C107"/>
          <cell r="D107" t="str">
            <v>OK</v>
          </cell>
        </row>
        <row r="108">
          <cell r="B108" t="str">
            <v>Bancos de 
condensadores</v>
          </cell>
          <cell r="C108"/>
          <cell r="D108" t="str">
            <v>OK</v>
          </cell>
        </row>
        <row r="109">
          <cell r="B109"/>
          <cell r="C109"/>
          <cell r="D109"/>
        </row>
        <row r="110">
          <cell r="B110" t="str">
            <v>Comentarios:</v>
          </cell>
          <cell r="C110" t="str">
            <v>Display de factor de potencia alarmado "A.HC". Continúa.</v>
          </cell>
          <cell r="D110"/>
        </row>
        <row r="111">
          <cell r="B111"/>
          <cell r="C111"/>
          <cell r="D111"/>
        </row>
        <row r="112">
          <cell r="B112"/>
          <cell r="C112"/>
          <cell r="D112"/>
        </row>
        <row r="113">
          <cell r="B113"/>
          <cell r="C113"/>
          <cell r="D113"/>
        </row>
        <row r="114">
          <cell r="B114"/>
          <cell r="C114"/>
          <cell r="D114"/>
        </row>
        <row r="115">
          <cell r="B115"/>
          <cell r="C115"/>
          <cell r="D115"/>
        </row>
        <row r="116">
          <cell r="B116"/>
          <cell r="C116"/>
          <cell r="D116"/>
        </row>
        <row r="117">
          <cell r="B117"/>
          <cell r="C117"/>
          <cell r="D117"/>
        </row>
        <row r="118">
          <cell r="B118"/>
          <cell r="C118"/>
          <cell r="D118"/>
        </row>
        <row r="119">
          <cell r="B119"/>
          <cell r="C119"/>
          <cell r="D119"/>
        </row>
        <row r="120">
          <cell r="B120"/>
          <cell r="C120"/>
          <cell r="D120"/>
        </row>
        <row r="121">
          <cell r="B121"/>
          <cell r="C121"/>
          <cell r="D121"/>
        </row>
        <row r="122">
          <cell r="B122"/>
          <cell r="C122"/>
          <cell r="D122"/>
        </row>
        <row r="123">
          <cell r="B123"/>
          <cell r="C123"/>
          <cell r="D123"/>
        </row>
        <row r="124">
          <cell r="B124"/>
          <cell r="C124"/>
          <cell r="D124"/>
        </row>
        <row r="125">
          <cell r="B125"/>
          <cell r="C125"/>
          <cell r="D125"/>
        </row>
        <row r="126">
          <cell r="B126"/>
          <cell r="C126"/>
          <cell r="D126"/>
        </row>
        <row r="127">
          <cell r="B127"/>
          <cell r="C127"/>
          <cell r="D127"/>
        </row>
        <row r="128">
          <cell r="B128"/>
          <cell r="C128"/>
          <cell r="D128"/>
        </row>
        <row r="129">
          <cell r="B129"/>
          <cell r="C129"/>
          <cell r="D129"/>
        </row>
        <row r="130">
          <cell r="B130"/>
          <cell r="C130"/>
          <cell r="D130"/>
        </row>
        <row r="131">
          <cell r="B131"/>
          <cell r="C131"/>
          <cell r="D131"/>
        </row>
        <row r="132">
          <cell r="B132"/>
          <cell r="C132"/>
          <cell r="D132"/>
        </row>
        <row r="133">
          <cell r="B133"/>
          <cell r="C133"/>
          <cell r="D133"/>
        </row>
        <row r="134">
          <cell r="B134"/>
          <cell r="C134"/>
          <cell r="D134"/>
        </row>
        <row r="135">
          <cell r="B135"/>
          <cell r="C135"/>
          <cell r="D135"/>
        </row>
        <row r="136">
          <cell r="B136"/>
          <cell r="C136"/>
          <cell r="D136"/>
        </row>
        <row r="137">
          <cell r="B137"/>
          <cell r="C137"/>
          <cell r="D137"/>
        </row>
        <row r="138">
          <cell r="B138"/>
          <cell r="C138"/>
          <cell r="D138"/>
        </row>
        <row r="139">
          <cell r="B139"/>
          <cell r="C139"/>
          <cell r="D139"/>
        </row>
        <row r="140">
          <cell r="B140"/>
          <cell r="C140"/>
          <cell r="D140"/>
        </row>
        <row r="141">
          <cell r="B141"/>
          <cell r="C141"/>
          <cell r="D141"/>
        </row>
        <row r="142">
          <cell r="B142" t="str">
            <v>UPS</v>
          </cell>
          <cell r="C142"/>
          <cell r="D142" t="str">
            <v>Estado</v>
          </cell>
        </row>
        <row r="143">
          <cell r="B143" t="str">
            <v>UPS en línea</v>
          </cell>
          <cell r="C143"/>
          <cell r="D143" t="str">
            <v>OK</v>
          </cell>
        </row>
        <row r="144">
          <cell r="B144" t="str">
            <v>Aire acondicionado dedicado</v>
          </cell>
          <cell r="C144"/>
          <cell r="D144" t="str">
            <v>NO OK</v>
          </cell>
        </row>
        <row r="145">
          <cell r="B145" t="str">
            <v>Estado de carga de baterías</v>
          </cell>
          <cell r="C145"/>
          <cell r="D145" t="str">
            <v>OK</v>
          </cell>
        </row>
        <row r="146">
          <cell r="B146"/>
          <cell r="C146"/>
          <cell r="D146"/>
        </row>
        <row r="147">
          <cell r="B147"/>
          <cell r="C147"/>
          <cell r="D147"/>
        </row>
        <row r="148">
          <cell r="B148"/>
          <cell r="C148"/>
          <cell r="D148"/>
        </row>
        <row r="149">
          <cell r="B149"/>
          <cell r="C149"/>
          <cell r="D149"/>
        </row>
        <row r="150">
          <cell r="B150"/>
          <cell r="C150"/>
          <cell r="D150"/>
        </row>
        <row r="151">
          <cell r="B151"/>
          <cell r="C151"/>
          <cell r="D151"/>
        </row>
        <row r="152">
          <cell r="B152"/>
          <cell r="C152"/>
          <cell r="D152"/>
        </row>
        <row r="153">
          <cell r="B153"/>
          <cell r="C153"/>
          <cell r="D153"/>
        </row>
        <row r="154">
          <cell r="B154"/>
          <cell r="C154"/>
          <cell r="D154"/>
        </row>
        <row r="155">
          <cell r="B155"/>
          <cell r="C155"/>
          <cell r="D155"/>
        </row>
        <row r="156">
          <cell r="B156"/>
          <cell r="C156"/>
          <cell r="D156"/>
        </row>
        <row r="157">
          <cell r="B157" t="str">
            <v>3   GAS</v>
          </cell>
          <cell r="C157"/>
          <cell r="D157"/>
        </row>
        <row r="158">
          <cell r="B158"/>
          <cell r="C158"/>
          <cell r="D158"/>
        </row>
        <row r="159">
          <cell r="B159" t="str">
            <v>GAS</v>
          </cell>
          <cell r="C159"/>
          <cell r="D159" t="str">
            <v>Estado</v>
          </cell>
        </row>
        <row r="160">
          <cell r="B160" t="str">
            <v>Flexibles autorizados</v>
          </cell>
          <cell r="C160"/>
          <cell r="D160" t="str">
            <v>OK</v>
          </cell>
        </row>
        <row r="161">
          <cell r="B161" t="str">
            <v>Sistema de corte por pánico</v>
          </cell>
          <cell r="C161"/>
          <cell r="D161" t="str">
            <v>OK</v>
          </cell>
        </row>
        <row r="162">
          <cell r="B162"/>
          <cell r="C162"/>
          <cell r="D162"/>
        </row>
        <row r="163">
          <cell r="B163"/>
          <cell r="C163"/>
          <cell r="D163"/>
        </row>
        <row r="164">
          <cell r="B164"/>
          <cell r="C164"/>
          <cell r="D164"/>
        </row>
        <row r="165">
          <cell r="B165"/>
          <cell r="C165"/>
          <cell r="D165"/>
        </row>
        <row r="166">
          <cell r="B166"/>
          <cell r="C166"/>
          <cell r="D166"/>
        </row>
        <row r="167">
          <cell r="B167"/>
          <cell r="C167"/>
          <cell r="D167"/>
        </row>
        <row r="168">
          <cell r="B168"/>
          <cell r="C168"/>
          <cell r="D168"/>
        </row>
        <row r="169">
          <cell r="B169"/>
          <cell r="C169"/>
          <cell r="D169"/>
        </row>
        <row r="170">
          <cell r="B170"/>
          <cell r="C170"/>
          <cell r="D170"/>
        </row>
        <row r="171">
          <cell r="B171"/>
          <cell r="C171"/>
          <cell r="D171"/>
        </row>
        <row r="172">
          <cell r="B172"/>
          <cell r="C172"/>
          <cell r="D172"/>
        </row>
        <row r="173">
          <cell r="B173"/>
          <cell r="C173"/>
          <cell r="D173"/>
        </row>
        <row r="174">
          <cell r="B174"/>
          <cell r="C174"/>
          <cell r="D174"/>
        </row>
        <row r="175">
          <cell r="B175"/>
          <cell r="C175"/>
          <cell r="D175"/>
        </row>
        <row r="176">
          <cell r="B176"/>
          <cell r="C176"/>
          <cell r="D176"/>
        </row>
        <row r="177">
          <cell r="B177"/>
          <cell r="C177"/>
          <cell r="D177"/>
        </row>
        <row r="178">
          <cell r="B178"/>
          <cell r="C178"/>
          <cell r="D178"/>
        </row>
        <row r="179">
          <cell r="B179"/>
          <cell r="C179"/>
          <cell r="D179"/>
        </row>
        <row r="180">
          <cell r="B180"/>
          <cell r="C180"/>
          <cell r="D180"/>
        </row>
        <row r="181">
          <cell r="B181"/>
          <cell r="C181"/>
          <cell r="D181"/>
        </row>
        <row r="182">
          <cell r="B182"/>
          <cell r="C182"/>
          <cell r="D182"/>
        </row>
        <row r="183">
          <cell r="B183"/>
          <cell r="C183"/>
          <cell r="D183"/>
        </row>
        <row r="184">
          <cell r="B184"/>
          <cell r="C184"/>
          <cell r="D184"/>
        </row>
        <row r="185">
          <cell r="B185"/>
          <cell r="C185"/>
          <cell r="D185"/>
        </row>
        <row r="186">
          <cell r="B186"/>
          <cell r="C186"/>
          <cell r="D186"/>
        </row>
        <row r="187">
          <cell r="B187"/>
          <cell r="C187"/>
          <cell r="D187"/>
        </row>
        <row r="188">
          <cell r="B188"/>
          <cell r="C188"/>
          <cell r="D188"/>
        </row>
        <row r="189">
          <cell r="B189"/>
          <cell r="C189"/>
          <cell r="D189"/>
        </row>
        <row r="190">
          <cell r="B190"/>
          <cell r="C190"/>
          <cell r="D190"/>
        </row>
        <row r="191">
          <cell r="B191"/>
          <cell r="C191"/>
          <cell r="D191"/>
        </row>
        <row r="192">
          <cell r="B192"/>
          <cell r="C192"/>
          <cell r="D192"/>
        </row>
        <row r="193">
          <cell r="B193"/>
          <cell r="C193"/>
          <cell r="D193"/>
        </row>
        <row r="194">
          <cell r="B194"/>
          <cell r="C194"/>
          <cell r="D194"/>
        </row>
        <row r="195">
          <cell r="B195"/>
          <cell r="C195"/>
          <cell r="D195"/>
        </row>
        <row r="196">
          <cell r="B196"/>
          <cell r="C196"/>
          <cell r="D196"/>
        </row>
        <row r="197">
          <cell r="B197"/>
          <cell r="C197"/>
          <cell r="D197"/>
        </row>
        <row r="198">
          <cell r="B198"/>
          <cell r="C198"/>
          <cell r="D198"/>
        </row>
        <row r="199">
          <cell r="B199"/>
          <cell r="C199"/>
          <cell r="D199"/>
        </row>
        <row r="200">
          <cell r="B200"/>
          <cell r="C200"/>
          <cell r="D200"/>
        </row>
        <row r="201">
          <cell r="B201"/>
          <cell r="C201"/>
          <cell r="D201"/>
        </row>
        <row r="202">
          <cell r="B202"/>
          <cell r="C202"/>
          <cell r="D202"/>
        </row>
        <row r="203">
          <cell r="B203"/>
          <cell r="C203"/>
          <cell r="D203"/>
        </row>
        <row r="204">
          <cell r="B204"/>
          <cell r="C204"/>
          <cell r="D204"/>
        </row>
        <row r="205">
          <cell r="B205"/>
          <cell r="C205"/>
          <cell r="D205"/>
        </row>
        <row r="206">
          <cell r="B206"/>
          <cell r="C206"/>
          <cell r="D206"/>
        </row>
        <row r="207">
          <cell r="B207"/>
          <cell r="C207"/>
          <cell r="D207"/>
        </row>
        <row r="208">
          <cell r="B208"/>
          <cell r="C208"/>
          <cell r="D208"/>
        </row>
        <row r="209">
          <cell r="B209"/>
          <cell r="C209"/>
          <cell r="D209"/>
        </row>
        <row r="210">
          <cell r="B210"/>
          <cell r="C210"/>
          <cell r="D210"/>
        </row>
        <row r="211">
          <cell r="B211"/>
          <cell r="C211"/>
          <cell r="D211"/>
        </row>
        <row r="212">
          <cell r="B212"/>
          <cell r="C212"/>
          <cell r="D212"/>
        </row>
        <row r="213">
          <cell r="B213"/>
          <cell r="C213"/>
          <cell r="D213"/>
        </row>
        <row r="214">
          <cell r="B214"/>
          <cell r="C214"/>
          <cell r="D214"/>
        </row>
        <row r="215">
          <cell r="B215"/>
          <cell r="C215"/>
          <cell r="D215"/>
        </row>
        <row r="216">
          <cell r="B216"/>
          <cell r="C216"/>
          <cell r="D216"/>
        </row>
        <row r="217">
          <cell r="B217"/>
          <cell r="C217"/>
          <cell r="D217"/>
        </row>
        <row r="218">
          <cell r="B218"/>
          <cell r="C218"/>
          <cell r="D218"/>
        </row>
        <row r="219">
          <cell r="B219"/>
          <cell r="C219"/>
          <cell r="D219"/>
        </row>
        <row r="220">
          <cell r="B220"/>
          <cell r="C220"/>
          <cell r="D220"/>
        </row>
        <row r="221">
          <cell r="B221"/>
          <cell r="C221"/>
          <cell r="D221"/>
        </row>
        <row r="222">
          <cell r="B222"/>
          <cell r="C222"/>
          <cell r="D222"/>
        </row>
        <row r="223">
          <cell r="B223"/>
          <cell r="C223"/>
          <cell r="D223"/>
        </row>
        <row r="224">
          <cell r="B224"/>
          <cell r="C224"/>
          <cell r="D224"/>
        </row>
        <row r="225">
          <cell r="B225"/>
          <cell r="C225"/>
          <cell r="D225"/>
        </row>
        <row r="226">
          <cell r="B226"/>
          <cell r="C226"/>
          <cell r="D226"/>
        </row>
        <row r="227">
          <cell r="B227"/>
          <cell r="C227"/>
          <cell r="D227"/>
        </row>
        <row r="228">
          <cell r="B228"/>
          <cell r="C228"/>
          <cell r="D228"/>
        </row>
        <row r="229">
          <cell r="B229"/>
          <cell r="C229"/>
          <cell r="D229"/>
        </row>
        <row r="230">
          <cell r="B230"/>
          <cell r="C230"/>
          <cell r="D230"/>
        </row>
        <row r="231">
          <cell r="B231"/>
          <cell r="C231"/>
          <cell r="D231"/>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L5D5PCRQWGZBK4BOV6E5WT4K4">
      <xxl21:absoluteUrl r:id="rId2"/>
    </xxl21:alternateUrls>
    <sheetNames>
      <sheetName val="Informe"/>
    </sheetNames>
    <sheetDataSet>
      <sheetData sheetId="0">
        <row r="5">
          <cell r="B5" t="str">
            <v>SUCURSAL:</v>
          </cell>
          <cell r="C5" t="str">
            <v>DEVOTO 03</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DV03_S_01</v>
          </cell>
          <cell r="C13">
            <v>2</v>
          </cell>
          <cell r="D13">
            <v>3</v>
          </cell>
        </row>
        <row r="14">
          <cell r="B14" t="str">
            <v>DV03_S_02</v>
          </cell>
          <cell r="C14">
            <v>3</v>
          </cell>
          <cell r="D14">
            <v>3</v>
          </cell>
        </row>
        <row r="15">
          <cell r="B15"/>
          <cell r="C15"/>
          <cell r="D15"/>
        </row>
        <row r="16">
          <cell r="B16" t="str">
            <v>Comentarios:</v>
          </cell>
          <cell r="C16" t="str">
            <v>Rejillas sueltas en equipos fuera de servicio ubicados detrás de las líneas de cajas.</v>
          </cell>
          <cell r="D16"/>
        </row>
        <row r="17">
          <cell r="B17" t="str">
            <v>S_01</v>
          </cell>
          <cell r="C17" t="str">
            <v xml:space="preserve">Alta presencia de suciedad en intercambiador unidad exterior. </v>
          </cell>
          <cell r="D17"/>
        </row>
        <row r="18">
          <cell r="B18"/>
        </row>
        <row r="19">
          <cell r="B19"/>
        </row>
        <row r="20">
          <cell r="B20"/>
        </row>
        <row r="21">
          <cell r="B21"/>
        </row>
        <row r="22">
          <cell r="B22"/>
        </row>
        <row r="68">
          <cell r="B68" t="str">
            <v>2   ELÉCTRICA</v>
          </cell>
          <cell r="C68"/>
          <cell r="D68"/>
        </row>
        <row r="70">
          <cell r="B70" t="str">
            <v>Código</v>
          </cell>
          <cell r="C70" t="str">
            <v>Estado</v>
          </cell>
          <cell r="D70" t="str">
            <v>Mantenimiento</v>
          </cell>
        </row>
        <row r="71">
          <cell r="B71" t="str">
            <v>Generador</v>
          </cell>
          <cell r="C71" t="str">
            <v>Generador</v>
          </cell>
          <cell r="D71" t="str">
            <v>Proveedor</v>
          </cell>
        </row>
        <row r="72">
          <cell r="B72" t="str">
            <v>DV03_G_01</v>
          </cell>
          <cell r="C72">
            <v>2</v>
          </cell>
          <cell r="D72">
            <v>3</v>
          </cell>
        </row>
        <row r="73">
          <cell r="B73"/>
          <cell r="C73"/>
        </row>
        <row r="74">
          <cell r="B74" t="str">
            <v>GENERADOR</v>
          </cell>
          <cell r="C74"/>
          <cell r="D74" t="str">
            <v>Estado</v>
          </cell>
        </row>
        <row r="75">
          <cell r="B75" t="str">
            <v>Tanque de Combustible</v>
          </cell>
          <cell r="C75"/>
          <cell r="D75">
            <v>0.6</v>
          </cell>
        </row>
        <row r="76">
          <cell r="B76" t="str">
            <v>Batería</v>
          </cell>
          <cell r="C76"/>
          <cell r="D76" t="str">
            <v>OK</v>
          </cell>
        </row>
        <row r="77">
          <cell r="B77" t="str">
            <v>Liquido refrigerante</v>
          </cell>
          <cell r="C77"/>
          <cell r="D77" t="str">
            <v>OK</v>
          </cell>
        </row>
        <row r="78">
          <cell r="B78" t="str">
            <v>Lubricante</v>
          </cell>
          <cell r="C78"/>
          <cell r="D78" t="str">
            <v>OK</v>
          </cell>
        </row>
        <row r="80">
          <cell r="B80" t="str">
            <v>Comentarios:</v>
          </cell>
          <cell r="C80" t="str">
            <v>Falta de protección en correa.</v>
          </cell>
          <cell r="D80"/>
        </row>
        <row r="81">
          <cell r="B81"/>
        </row>
        <row r="82">
          <cell r="B82"/>
        </row>
        <row r="84">
          <cell r="B84"/>
          <cell r="C84"/>
        </row>
        <row r="87">
          <cell r="B87"/>
          <cell r="C87"/>
          <cell r="D87"/>
        </row>
        <row r="88">
          <cell r="B88"/>
          <cell r="C88"/>
          <cell r="D88"/>
        </row>
        <row r="107">
          <cell r="B107" t="str">
            <v>SUBESTACIÓN</v>
          </cell>
          <cell r="C107"/>
          <cell r="D107" t="str">
            <v>Estado</v>
          </cell>
        </row>
        <row r="108">
          <cell r="B108" t="str">
            <v>Objetos extraños</v>
          </cell>
          <cell r="C108"/>
          <cell r="D108" t="str">
            <v>OK</v>
          </cell>
        </row>
        <row r="109">
          <cell r="B109" t="str">
            <v>Filtraciones de agua</v>
          </cell>
          <cell r="C109"/>
          <cell r="D109" t="str">
            <v>OK</v>
          </cell>
        </row>
        <row r="110">
          <cell r="B110" t="str">
            <v>Tableros eléctricos</v>
          </cell>
          <cell r="C110"/>
          <cell r="D110" t="str">
            <v>OK</v>
          </cell>
        </row>
        <row r="111">
          <cell r="B111" t="str">
            <v>Bancos de _x000D_condensadores</v>
          </cell>
          <cell r="C111"/>
          <cell r="D111" t="str">
            <v>OK</v>
          </cell>
        </row>
        <row r="113">
          <cell r="B113" t="str">
            <v>Comentarios:</v>
          </cell>
          <cell r="C113" t="str">
            <v>Interruptor ABB acometida inferior con temperatura de 42 °C. Verificar.</v>
          </cell>
          <cell r="D113"/>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B148" t="str">
            <v>UPS</v>
          </cell>
          <cell r="C148"/>
          <cell r="D148" t="str">
            <v>Estado</v>
          </cell>
        </row>
        <row r="149">
          <cell r="B149" t="str">
            <v>Aire acondicionado dedicado</v>
          </cell>
          <cell r="C149"/>
          <cell r="D149" t="str">
            <v>OK</v>
          </cell>
        </row>
        <row r="150">
          <cell r="B150" t="str">
            <v>UPS en línea</v>
          </cell>
          <cell r="C150"/>
          <cell r="D150" t="str">
            <v>OK</v>
          </cell>
        </row>
        <row r="151">
          <cell r="B151" t="str">
            <v>Estado de carga de baterías</v>
          </cell>
          <cell r="C151"/>
          <cell r="D151" t="str">
            <v>OK</v>
          </cell>
        </row>
        <row r="152">
          <cell r="C152"/>
          <cell r="D152"/>
        </row>
        <row r="153">
          <cell r="C153"/>
          <cell r="D153"/>
        </row>
        <row r="154">
          <cell r="C154"/>
          <cell r="D154"/>
        </row>
        <row r="155">
          <cell r="C155"/>
          <cell r="D155"/>
        </row>
        <row r="156">
          <cell r="C156"/>
          <cell r="D156"/>
        </row>
        <row r="157">
          <cell r="C157"/>
          <cell r="D157"/>
        </row>
        <row r="158">
          <cell r="C158"/>
          <cell r="D158"/>
        </row>
        <row r="159">
          <cell r="C159"/>
          <cell r="D159"/>
        </row>
        <row r="160">
          <cell r="C160"/>
          <cell r="D160"/>
        </row>
        <row r="161">
          <cell r="C161"/>
          <cell r="D161"/>
        </row>
        <row r="162">
          <cell r="C162"/>
          <cell r="D162"/>
        </row>
        <row r="163">
          <cell r="C163"/>
          <cell r="D163"/>
        </row>
        <row r="164">
          <cell r="C164"/>
          <cell r="D164"/>
        </row>
        <row r="165">
          <cell r="B165" t="str">
            <v>3   GAS</v>
          </cell>
          <cell r="C165"/>
          <cell r="D165"/>
        </row>
        <row r="167">
          <cell r="B167" t="str">
            <v>GAS</v>
          </cell>
          <cell r="C167"/>
          <cell r="D167" t="str">
            <v>Estado</v>
          </cell>
        </row>
        <row r="168">
          <cell r="B168" t="str">
            <v>Flexibles autorizados</v>
          </cell>
          <cell r="C168"/>
          <cell r="D168" t="str">
            <v>N/A</v>
          </cell>
        </row>
        <row r="169">
          <cell r="B169" t="str">
            <v>Sistema de corte por pánico</v>
          </cell>
          <cell r="C169"/>
          <cell r="D169" t="str">
            <v>N/A</v>
          </cell>
        </row>
        <row r="170">
          <cell r="C170"/>
          <cell r="D170"/>
        </row>
        <row r="171">
          <cell r="B171" t="str">
            <v>4   OBSERVACIONES GENERALES</v>
          </cell>
          <cell r="C171"/>
          <cell r="D171"/>
        </row>
        <row r="172">
          <cell r="C172"/>
          <cell r="D172"/>
        </row>
        <row r="173">
          <cell r="B173" t="str">
            <v>Comentarios:</v>
          </cell>
          <cell r="C173"/>
          <cell r="D173"/>
        </row>
        <row r="174">
          <cell r="C174"/>
          <cell r="D174"/>
        </row>
        <row r="175">
          <cell r="C175"/>
          <cell r="D175"/>
        </row>
        <row r="176">
          <cell r="C176"/>
          <cell r="D176"/>
        </row>
        <row r="177">
          <cell r="C177"/>
          <cell r="D177"/>
        </row>
        <row r="178">
          <cell r="C178"/>
          <cell r="D178"/>
        </row>
        <row r="179">
          <cell r="C179"/>
          <cell r="D179"/>
        </row>
        <row r="180">
          <cell r="C180"/>
          <cell r="D180"/>
        </row>
        <row r="181">
          <cell r="C181"/>
          <cell r="D181"/>
        </row>
        <row r="182">
          <cell r="C182"/>
          <cell r="D182"/>
        </row>
        <row r="183">
          <cell r="C183"/>
          <cell r="D183"/>
        </row>
        <row r="184">
          <cell r="C184"/>
          <cell r="D184"/>
        </row>
        <row r="185">
          <cell r="C185"/>
          <cell r="D185"/>
        </row>
        <row r="186">
          <cell r="C186"/>
          <cell r="D186"/>
        </row>
        <row r="187">
          <cell r="C187"/>
          <cell r="D187"/>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47GWL44MZMFFEKYQTV4BU2DHJG">
      <xxl21:absoluteUrl r:id="rId2"/>
    </xxl21:alternateUrls>
    <sheetNames>
      <sheetName val="Informe"/>
    </sheetNames>
    <sheetDataSet>
      <sheetData sheetId="0">
        <row r="5">
          <cell r="B5" t="str">
            <v>SUCURSAL:</v>
          </cell>
          <cell r="C5" t="str">
            <v>DEVOTO 04</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DV04_S_01 /Lennox</v>
          </cell>
          <cell r="C13">
            <v>2</v>
          </cell>
          <cell r="D13">
            <v>2</v>
          </cell>
        </row>
        <row r="14">
          <cell r="B14" t="str">
            <v>DV04_S_02 /Hisense</v>
          </cell>
          <cell r="C14">
            <v>2</v>
          </cell>
          <cell r="D14">
            <v>3</v>
          </cell>
        </row>
        <row r="15">
          <cell r="B15" t="str">
            <v>DV04_S_03 /Samsung</v>
          </cell>
          <cell r="C15">
            <v>2</v>
          </cell>
          <cell r="D15">
            <v>3</v>
          </cell>
        </row>
        <row r="16">
          <cell r="B16" t="str">
            <v>DV04_S_04 /Samsung</v>
          </cell>
          <cell r="C16">
            <v>2</v>
          </cell>
          <cell r="D16">
            <v>3</v>
          </cell>
        </row>
        <row r="17">
          <cell r="B17" t="str">
            <v>DV04_S_05 /Samsung</v>
          </cell>
          <cell r="C17">
            <v>2</v>
          </cell>
          <cell r="D17">
            <v>3</v>
          </cell>
        </row>
        <row r="18">
          <cell r="B18"/>
          <cell r="D18"/>
        </row>
        <row r="19">
          <cell r="B19" t="str">
            <v>Comentarios:</v>
          </cell>
          <cell r="C19" t="str">
            <v>S_01</v>
          </cell>
          <cell r="D19" t="str">
            <v>Acceso a unidad interior limitado. Unidad se encuentra en cielorraso.</v>
          </cell>
        </row>
        <row r="20">
          <cell r="B20"/>
          <cell r="C20" t="str">
            <v>S_01 a S_05</v>
          </cell>
          <cell r="D20" t="str">
            <v>Intercambiadores exteriores sucios.</v>
          </cell>
        </row>
        <row r="21">
          <cell r="B21"/>
          <cell r="C21"/>
          <cell r="D21"/>
        </row>
        <row r="22">
          <cell r="B22"/>
          <cell r="C22"/>
          <cell r="D22"/>
        </row>
        <row r="56">
          <cell r="B56"/>
          <cell r="C56"/>
        </row>
        <row r="57">
          <cell r="B57"/>
          <cell r="C57"/>
        </row>
        <row r="58">
          <cell r="B58"/>
          <cell r="C58"/>
        </row>
        <row r="59">
          <cell r="B59"/>
          <cell r="C59"/>
        </row>
        <row r="60">
          <cell r="B60"/>
          <cell r="C60"/>
        </row>
        <row r="61">
          <cell r="B61"/>
          <cell r="C61"/>
        </row>
        <row r="62">
          <cell r="B62"/>
          <cell r="C62"/>
        </row>
        <row r="63">
          <cell r="B63"/>
          <cell r="C63"/>
        </row>
        <row r="64">
          <cell r="B64"/>
          <cell r="C64"/>
        </row>
        <row r="65">
          <cell r="B65"/>
          <cell r="C65"/>
        </row>
        <row r="66">
          <cell r="B66"/>
          <cell r="C66"/>
        </row>
        <row r="67">
          <cell r="B67"/>
          <cell r="C67"/>
        </row>
        <row r="68">
          <cell r="B68"/>
          <cell r="C68"/>
        </row>
        <row r="69">
          <cell r="B69"/>
          <cell r="C69"/>
        </row>
        <row r="70">
          <cell r="B70"/>
          <cell r="C70"/>
        </row>
        <row r="71">
          <cell r="B71"/>
          <cell r="C71"/>
        </row>
        <row r="72">
          <cell r="B72"/>
          <cell r="C72"/>
        </row>
        <row r="73">
          <cell r="B73"/>
          <cell r="C73"/>
        </row>
        <row r="74">
          <cell r="B74"/>
          <cell r="C74"/>
        </row>
        <row r="75">
          <cell r="B75"/>
          <cell r="C75"/>
        </row>
        <row r="76">
          <cell r="B76"/>
          <cell r="C76"/>
        </row>
        <row r="77">
          <cell r="B77"/>
          <cell r="C77"/>
        </row>
        <row r="78">
          <cell r="B78"/>
          <cell r="C78"/>
        </row>
        <row r="79">
          <cell r="B79" t="str">
            <v>2   ELÉCTRICA</v>
          </cell>
          <cell r="C79"/>
          <cell r="D79"/>
        </row>
        <row r="81">
          <cell r="B81" t="str">
            <v>Código</v>
          </cell>
          <cell r="C81" t="str">
            <v>Estado</v>
          </cell>
          <cell r="D81" t="str">
            <v>Mantenimiento</v>
          </cell>
        </row>
        <row r="82">
          <cell r="B82" t="str">
            <v>Generador</v>
          </cell>
          <cell r="C82" t="str">
            <v>Generador</v>
          </cell>
          <cell r="D82" t="str">
            <v>Proveedor</v>
          </cell>
        </row>
        <row r="83">
          <cell r="B83" t="str">
            <v>DV04_G_01</v>
          </cell>
          <cell r="C83">
            <v>2</v>
          </cell>
          <cell r="D83">
            <v>2</v>
          </cell>
        </row>
        <row r="84">
          <cell r="B84"/>
          <cell r="C84"/>
        </row>
        <row r="85">
          <cell r="B85" t="str">
            <v>GENERADOR</v>
          </cell>
          <cell r="C85"/>
          <cell r="D85" t="str">
            <v>Estado</v>
          </cell>
        </row>
        <row r="86">
          <cell r="B86" t="str">
            <v>Tanque de Combustible</v>
          </cell>
          <cell r="C86"/>
          <cell r="D86">
            <v>1</v>
          </cell>
        </row>
        <row r="87">
          <cell r="B87" t="str">
            <v>Batería</v>
          </cell>
          <cell r="C87"/>
          <cell r="D87" t="str">
            <v>OK</v>
          </cell>
        </row>
        <row r="88">
          <cell r="B88" t="str">
            <v>Liquido refrigerante</v>
          </cell>
          <cell r="C88"/>
          <cell r="D88" t="str">
            <v>OK</v>
          </cell>
        </row>
        <row r="89">
          <cell r="B89" t="str">
            <v>Aceite</v>
          </cell>
          <cell r="C89"/>
          <cell r="D89" t="str">
            <v>OK</v>
          </cell>
        </row>
        <row r="90">
          <cell r="D90"/>
        </row>
        <row r="91">
          <cell r="B91" t="str">
            <v>Comentarios:</v>
          </cell>
          <cell r="C91" t="str">
            <v>Bandeja Daisa sin tapa y cableado eléctrico por fuera de la misma. Presenta riesgo. Solucionar.</v>
          </cell>
          <cell r="D91"/>
        </row>
        <row r="92">
          <cell r="B92"/>
          <cell r="C92" t="str">
            <v>Nivel de líquido lubricante aceptable pero cerca del mínimo. Controlar.</v>
          </cell>
          <cell r="D92"/>
        </row>
        <row r="93">
          <cell r="B93"/>
          <cell r="C93" t="str">
            <v>Alta presencia de óxido en tanque de líquido refrigerante. Controlar.</v>
          </cell>
          <cell r="D93"/>
        </row>
        <row r="94">
          <cell r="B94"/>
          <cell r="C94" t="str">
            <v>Proteger filo de chapa en acceso a grupo generador.</v>
          </cell>
          <cell r="D94"/>
        </row>
        <row r="95">
          <cell r="B95"/>
          <cell r="C95" t="str">
            <v>Limpiar hojas en zona detrás de grupo generador. Alta carga de fuego.</v>
          </cell>
          <cell r="D95"/>
        </row>
        <row r="96">
          <cell r="B96"/>
          <cell r="C96" t="str">
            <v>Bandeja de acometida electrica Daisa sin tapa y con cableado por fuera. Ordenar y tapar.</v>
          </cell>
          <cell r="D96"/>
        </row>
        <row r="126">
          <cell r="B126" t="str">
            <v>SUBESTACIÓN</v>
          </cell>
          <cell r="C126"/>
          <cell r="D126" t="str">
            <v>Estado</v>
          </cell>
        </row>
        <row r="127">
          <cell r="B127" t="str">
            <v>Objetos extraños</v>
          </cell>
          <cell r="C127"/>
          <cell r="D127" t="str">
            <v>OK</v>
          </cell>
        </row>
        <row r="128">
          <cell r="B128" t="str">
            <v>Filtraciones de agua</v>
          </cell>
          <cell r="C128"/>
          <cell r="D128" t="str">
            <v>OK</v>
          </cell>
        </row>
        <row r="129">
          <cell r="B129" t="str">
            <v>Tableros eléctricos</v>
          </cell>
          <cell r="C129"/>
          <cell r="D129" t="str">
            <v>OK</v>
          </cell>
        </row>
        <row r="130">
          <cell r="B130" t="str">
            <v>Bancos de _x000D_condensadores</v>
          </cell>
          <cell r="C130"/>
          <cell r="D130" t="str">
            <v>OK</v>
          </cell>
        </row>
        <row r="131">
          <cell r="D131"/>
        </row>
        <row r="132">
          <cell r="B132" t="str">
            <v>Comentarios:</v>
          </cell>
          <cell r="C132" t="str">
            <v>Cierre de gabinete de tablero eléctrico roto. Reparar.</v>
          </cell>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B181" t="str">
            <v>UPS</v>
          </cell>
          <cell r="C181"/>
          <cell r="D181" t="str">
            <v>Estado</v>
          </cell>
        </row>
        <row r="182">
          <cell r="B182" t="str">
            <v>UPS en línea</v>
          </cell>
          <cell r="C182"/>
          <cell r="D182" t="str">
            <v>OK</v>
          </cell>
        </row>
        <row r="183">
          <cell r="B183" t="str">
            <v>Aire acondicionado dedicado</v>
          </cell>
          <cell r="C183"/>
          <cell r="D183" t="str">
            <v>NO OK</v>
          </cell>
        </row>
        <row r="184">
          <cell r="B184" t="str">
            <v>Estado de carga de baterías</v>
          </cell>
          <cell r="C184"/>
          <cell r="D184" t="str">
            <v>OK</v>
          </cell>
        </row>
        <row r="185">
          <cell r="C185"/>
          <cell r="D185"/>
        </row>
        <row r="186">
          <cell r="B186" t="str">
            <v>Comentarios:</v>
          </cell>
          <cell r="C186" t="str">
            <v>Canalizar acometida eléctrica a UPS.</v>
          </cell>
          <cell r="D186"/>
        </row>
        <row r="187">
          <cell r="C187"/>
          <cell r="D187"/>
        </row>
        <row r="188">
          <cell r="C188"/>
          <cell r="D188"/>
        </row>
        <row r="189">
          <cell r="C189"/>
          <cell r="D189"/>
        </row>
        <row r="190">
          <cell r="C190"/>
          <cell r="D190"/>
        </row>
        <row r="191">
          <cell r="C191"/>
          <cell r="D191"/>
        </row>
        <row r="192">
          <cell r="C192"/>
          <cell r="D192"/>
        </row>
        <row r="193">
          <cell r="C193"/>
          <cell r="D193"/>
        </row>
        <row r="194">
          <cell r="C194"/>
          <cell r="D194"/>
        </row>
        <row r="195">
          <cell r="C195"/>
          <cell r="D195"/>
        </row>
        <row r="196">
          <cell r="C196"/>
          <cell r="D196"/>
        </row>
        <row r="197">
          <cell r="B197" t="str">
            <v>3   GAS</v>
          </cell>
          <cell r="C197"/>
          <cell r="D197"/>
        </row>
        <row r="199">
          <cell r="B199" t="str">
            <v>GAS</v>
          </cell>
          <cell r="C199"/>
          <cell r="D199" t="str">
            <v>Estado</v>
          </cell>
        </row>
        <row r="200">
          <cell r="B200" t="str">
            <v>Flexibles autorizados</v>
          </cell>
          <cell r="C200"/>
          <cell r="D200" t="str">
            <v>OK</v>
          </cell>
        </row>
        <row r="201">
          <cell r="B201" t="str">
            <v>Sistema de corte por pánico</v>
          </cell>
          <cell r="C201"/>
          <cell r="D201" t="str">
            <v>OK</v>
          </cell>
        </row>
        <row r="203">
          <cell r="B203" t="str">
            <v>Comentarios:</v>
          </cell>
          <cell r="C203" t="str">
            <v>Retirar materiales apoyados sobre acometida principal de gas.</v>
          </cell>
          <cell r="D203"/>
        </row>
        <row r="226">
          <cell r="B226"/>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6USHYOWC4JIFDYDVW3BVKQM3I4">
      <xxl21:absoluteUrl r:id="rId2"/>
    </xxl21:alternateUrls>
    <sheetNames>
      <sheetName val="Informe"/>
    </sheetNames>
    <sheetDataSet>
      <sheetData sheetId="0">
        <row r="5">
          <cell r="B5" t="str">
            <v>SUCURSAL:</v>
          </cell>
          <cell r="C5" t="str">
            <v>DEVOTO 05</v>
          </cell>
        </row>
        <row r="7">
          <cell r="B7" t="str">
            <v>1   AIRE ACONDICIONADO</v>
          </cell>
          <cell r="C7"/>
          <cell r="D7"/>
        </row>
        <row r="9">
          <cell r="B9" t="str">
            <v>CD/CI_x000D_
Sucursal</v>
          </cell>
          <cell r="C9">
            <v>0.83000000000000007</v>
          </cell>
        </row>
        <row r="11">
          <cell r="B11" t="str">
            <v>Código</v>
          </cell>
          <cell r="C11"/>
          <cell r="D11" t="str">
            <v>Estado del equipo</v>
          </cell>
        </row>
        <row r="12">
          <cell r="B12" t="str">
            <v>Equipo</v>
          </cell>
          <cell r="C12" t="str">
            <v>Intercambiadores</v>
          </cell>
          <cell r="D12" t="str">
            <v>Gabinete</v>
          </cell>
        </row>
        <row r="13">
          <cell r="B13" t="str">
            <v>DV05_R_01</v>
          </cell>
          <cell r="C13">
            <v>1.5</v>
          </cell>
          <cell r="D13">
            <v>3</v>
          </cell>
        </row>
        <row r="14">
          <cell r="B14" t="str">
            <v>DV05_R_02</v>
          </cell>
          <cell r="C14">
            <v>1.5</v>
          </cell>
          <cell r="D14">
            <v>3</v>
          </cell>
        </row>
        <row r="15">
          <cell r="B15" t="str">
            <v>DV05_R_03</v>
          </cell>
          <cell r="C15">
            <v>3</v>
          </cell>
          <cell r="D15">
            <v>3</v>
          </cell>
        </row>
        <row r="16">
          <cell r="B16" t="str">
            <v>DV05_R_04</v>
          </cell>
          <cell r="C16">
            <v>3</v>
          </cell>
          <cell r="D16">
            <v>3</v>
          </cell>
        </row>
        <row r="17">
          <cell r="D17"/>
        </row>
        <row r="18">
          <cell r="B18" t="str">
            <v>Comentarios:</v>
          </cell>
          <cell r="C18"/>
          <cell r="D18"/>
        </row>
        <row r="19">
          <cell r="B19" t="str">
            <v>R_02</v>
          </cell>
          <cell r="C19" t="str">
            <v>Forzador de aire tapado.</v>
          </cell>
          <cell r="D19"/>
        </row>
        <row r="20">
          <cell r="B20" t="str">
            <v>R_03</v>
          </cell>
          <cell r="C20" t="str">
            <v>Intercambiadores y filtros de aire sucios.Limpiar</v>
          </cell>
          <cell r="D20"/>
        </row>
        <row r="21">
          <cell r="B21" t="str">
            <v>R_04</v>
          </cell>
          <cell r="C21" t="str">
            <v>Realizar pasaje por sobre ductos de R_03. Se abollan los mismos al pisar.</v>
          </cell>
          <cell r="D21"/>
        </row>
        <row r="22">
          <cell r="B22"/>
          <cell r="C22" t="str">
            <v>Rejillas de extracción de aire y difusores en salón sucios. Limpiar.</v>
          </cell>
          <cell r="D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95">
          <cell r="B95" t="str">
            <v>2   ELÉCTRICA</v>
          </cell>
          <cell r="C95"/>
          <cell r="D95" t="str">
            <v>`</v>
          </cell>
        </row>
        <row r="97">
          <cell r="B97" t="str">
            <v>Código</v>
          </cell>
          <cell r="C97" t="str">
            <v>Estado</v>
          </cell>
          <cell r="D97" t="str">
            <v>Mantenimiento</v>
          </cell>
        </row>
        <row r="98">
          <cell r="B98" t="str">
            <v>Generador</v>
          </cell>
          <cell r="C98" t="str">
            <v>Generador</v>
          </cell>
          <cell r="D98" t="str">
            <v>Proveedor</v>
          </cell>
        </row>
        <row r="99">
          <cell r="B99" t="str">
            <v>DV05_G_01</v>
          </cell>
          <cell r="C99">
            <v>3</v>
          </cell>
          <cell r="D99">
            <v>3</v>
          </cell>
        </row>
        <row r="100">
          <cell r="B100"/>
          <cell r="C100"/>
        </row>
        <row r="101">
          <cell r="B101" t="str">
            <v>GENERADOR</v>
          </cell>
          <cell r="C101"/>
          <cell r="D101" t="str">
            <v>Estado</v>
          </cell>
        </row>
        <row r="102">
          <cell r="B102" t="str">
            <v>Tanque de Combustible</v>
          </cell>
          <cell r="C102"/>
          <cell r="D102">
            <v>0.75</v>
          </cell>
        </row>
        <row r="103">
          <cell r="B103" t="str">
            <v>Batería</v>
          </cell>
          <cell r="C103"/>
          <cell r="D103" t="str">
            <v>OK</v>
          </cell>
        </row>
        <row r="104">
          <cell r="B104" t="str">
            <v>Liquido refrigerante</v>
          </cell>
          <cell r="C104"/>
          <cell r="D104" t="str">
            <v>-</v>
          </cell>
        </row>
        <row r="105">
          <cell r="B105" t="str">
            <v>Lubricante</v>
          </cell>
          <cell r="C105"/>
          <cell r="D105" t="str">
            <v>OK</v>
          </cell>
        </row>
        <row r="106">
          <cell r="D106"/>
        </row>
        <row r="107">
          <cell r="B107" t="str">
            <v>Comentarios:</v>
          </cell>
          <cell r="C107" t="str">
            <v>Retirar materiales acopiados en las inmediaciones del generador.</v>
          </cell>
          <cell r="D107"/>
        </row>
        <row r="108">
          <cell r="B108"/>
          <cell r="C108" t="str">
            <v>No existe acceso a techo para control de líquido refrigerante.</v>
          </cell>
          <cell r="D108"/>
        </row>
        <row r="109">
          <cell r="B109"/>
          <cell r="C109" t="str">
            <v>Controlar pérdidas de aceite en juntas y mangones.</v>
          </cell>
          <cell r="D109"/>
        </row>
        <row r="110">
          <cell r="B110"/>
          <cell r="C110" t="str">
            <v>Display alarmado con solicitud de servicio.</v>
          </cell>
          <cell r="D110"/>
        </row>
        <row r="111">
          <cell r="B111"/>
          <cell r="C111" t="str">
            <v>Proteger acceso a correas y ventiladores.</v>
          </cell>
          <cell r="D111"/>
        </row>
        <row r="153">
          <cell r="B153" t="str">
            <v>3  ELÉCTRICA</v>
          </cell>
          <cell r="C153"/>
          <cell r="D153"/>
        </row>
        <row r="154">
          <cell r="B154"/>
          <cell r="C154"/>
        </row>
        <row r="155">
          <cell r="B155" t="str">
            <v>SUBESTACIÓN</v>
          </cell>
          <cell r="C155"/>
          <cell r="D155" t="str">
            <v>Estado</v>
          </cell>
        </row>
        <row r="156">
          <cell r="B156" t="str">
            <v>Objetos extraños</v>
          </cell>
          <cell r="C156"/>
          <cell r="D156" t="str">
            <v>OK</v>
          </cell>
        </row>
        <row r="157">
          <cell r="B157" t="str">
            <v>Filtraciones de agua</v>
          </cell>
          <cell r="C157"/>
          <cell r="D157" t="str">
            <v>OK</v>
          </cell>
        </row>
        <row r="158">
          <cell r="B158" t="str">
            <v>Tableros eléctricos</v>
          </cell>
          <cell r="C158"/>
          <cell r="D158" t="str">
            <v>OK</v>
          </cell>
        </row>
        <row r="159">
          <cell r="B159" t="str">
            <v>Bancos de _x000D_condensadores</v>
          </cell>
          <cell r="C159"/>
          <cell r="D159" t="str">
            <v>NO OK</v>
          </cell>
        </row>
        <row r="160">
          <cell r="D160"/>
        </row>
        <row r="161">
          <cell r="B161"/>
        </row>
        <row r="201">
          <cell r="B201" t="str">
            <v>4  UPS</v>
          </cell>
          <cell r="C201"/>
          <cell r="D201"/>
        </row>
        <row r="202">
          <cell r="B202"/>
          <cell r="C202"/>
        </row>
        <row r="203">
          <cell r="B203" t="str">
            <v>UPS</v>
          </cell>
          <cell r="C203"/>
          <cell r="D203" t="str">
            <v>Estado</v>
          </cell>
        </row>
        <row r="204">
          <cell r="B204" t="str">
            <v>UPS en línea</v>
          </cell>
          <cell r="C204"/>
          <cell r="D204" t="str">
            <v>OK</v>
          </cell>
        </row>
        <row r="205">
          <cell r="B205" t="str">
            <v>Aire acondicionado dedicado</v>
          </cell>
          <cell r="C205"/>
          <cell r="D205" t="str">
            <v>NO OK</v>
          </cell>
        </row>
        <row r="206">
          <cell r="B206" t="str">
            <v>Estado de carga de baterías</v>
          </cell>
          <cell r="C206"/>
          <cell r="D206" t="str">
            <v>OK</v>
          </cell>
        </row>
        <row r="208">
          <cell r="B208" t="str">
            <v>Comentarios:</v>
          </cell>
          <cell r="C208"/>
          <cell r="D208"/>
        </row>
        <row r="209">
          <cell r="B209"/>
          <cell r="C209"/>
        </row>
        <row r="211">
          <cell r="B211"/>
          <cell r="C211"/>
        </row>
        <row r="212">
          <cell r="B212"/>
          <cell r="C212"/>
        </row>
        <row r="213">
          <cell r="B213"/>
          <cell r="C213"/>
        </row>
        <row r="214">
          <cell r="B214"/>
          <cell r="C214"/>
        </row>
        <row r="215">
          <cell r="B215"/>
          <cell r="C215"/>
          <cell r="D215"/>
        </row>
        <row r="216">
          <cell r="C216"/>
          <cell r="D216"/>
        </row>
        <row r="217">
          <cell r="C217"/>
          <cell r="D217"/>
        </row>
        <row r="221">
          <cell r="B221" t="str">
            <v>5  GAS</v>
          </cell>
          <cell r="C221"/>
          <cell r="D221"/>
        </row>
        <row r="223">
          <cell r="B223" t="str">
            <v>GAS</v>
          </cell>
          <cell r="C223"/>
          <cell r="D223" t="str">
            <v>Estado</v>
          </cell>
        </row>
        <row r="224">
          <cell r="B224" t="str">
            <v>Flexibles autorizados</v>
          </cell>
          <cell r="C224"/>
          <cell r="D224" t="str">
            <v>OK</v>
          </cell>
        </row>
        <row r="225">
          <cell r="B225" t="str">
            <v>Sistema de corte por pánico</v>
          </cell>
          <cell r="C225"/>
          <cell r="D225" t="str">
            <v>NO OK</v>
          </cell>
        </row>
        <row r="227">
          <cell r="B227" t="str">
            <v>Comentarios:</v>
          </cell>
          <cell r="C227" t="str">
            <v>No existe botón de corte por pánico de gas en rotisería.</v>
          </cell>
          <cell r="D227"/>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VBPAHP7BG2NEYBLJXZTI4QA32">
      <xxl21:absoluteUrl r:id="rId2"/>
    </xxl21:alternateUrls>
    <sheetNames>
      <sheetName val="Informe"/>
    </sheetNames>
    <sheetDataSet>
      <sheetData sheetId="0">
        <row r="5">
          <cell r="B5" t="str">
            <v>SUCURSAL:</v>
          </cell>
          <cell r="C5" t="str">
            <v>DEVOTO 06</v>
          </cell>
        </row>
        <row r="7">
          <cell r="B7" t="str">
            <v>1   AIRE ACONDICIONADO</v>
          </cell>
          <cell r="C7"/>
          <cell r="D7"/>
        </row>
        <row r="9">
          <cell r="B9" t="str">
            <v>CD/CI 
Sucursal</v>
          </cell>
          <cell r="C9">
            <v>0.88888888888888884</v>
          </cell>
        </row>
        <row r="11">
          <cell r="B11" t="str">
            <v>Código</v>
          </cell>
          <cell r="C11"/>
          <cell r="D11" t="str">
            <v>Estado del equipo</v>
          </cell>
        </row>
        <row r="12">
          <cell r="B12" t="str">
            <v>Equipo</v>
          </cell>
          <cell r="C12" t="str">
            <v>Intercambiadores</v>
          </cell>
          <cell r="D12" t="str">
            <v>Gabinete</v>
          </cell>
        </row>
        <row r="13">
          <cell r="B13" t="str">
            <v>DV06_S_01</v>
          </cell>
          <cell r="C13">
            <v>2</v>
          </cell>
          <cell r="D13">
            <v>3</v>
          </cell>
        </row>
        <row r="14">
          <cell r="B14" t="str">
            <v>DV06_S_02</v>
          </cell>
          <cell r="C14">
            <v>2</v>
          </cell>
          <cell r="D14">
            <v>3</v>
          </cell>
        </row>
        <row r="15">
          <cell r="B15" t="str">
            <v>DV06_S_03</v>
          </cell>
          <cell r="C15">
            <v>2</v>
          </cell>
          <cell r="D15">
            <v>3</v>
          </cell>
        </row>
        <row r="16">
          <cell r="B16" t="str">
            <v>DV06_S_04</v>
          </cell>
          <cell r="C16">
            <v>2</v>
          </cell>
          <cell r="D16">
            <v>3</v>
          </cell>
        </row>
        <row r="17">
          <cell r="B17" t="str">
            <v>DV06_S_05</v>
          </cell>
          <cell r="C17">
            <v>2</v>
          </cell>
          <cell r="D17">
            <v>3</v>
          </cell>
        </row>
        <row r="18">
          <cell r="B18" t="str">
            <v>DV06_S_06</v>
          </cell>
          <cell r="C18">
            <v>2</v>
          </cell>
          <cell r="D18">
            <v>3</v>
          </cell>
        </row>
        <row r="19">
          <cell r="B19" t="str">
            <v>DV06_S_07</v>
          </cell>
          <cell r="C19">
            <v>2</v>
          </cell>
          <cell r="D19">
            <v>3</v>
          </cell>
        </row>
        <row r="20">
          <cell r="B20" t="str">
            <v>DV06_S_08</v>
          </cell>
          <cell r="C20">
            <v>2</v>
          </cell>
          <cell r="D20">
            <v>3</v>
          </cell>
        </row>
        <row r="21">
          <cell r="B21" t="str">
            <v>DV06_S_09</v>
          </cell>
          <cell r="C21">
            <v>2</v>
          </cell>
          <cell r="D21">
            <v>3</v>
          </cell>
        </row>
        <row r="22">
          <cell r="D22"/>
        </row>
        <row r="23">
          <cell r="B23" t="str">
            <v>Comentarios:</v>
          </cell>
          <cell r="C23" t="str">
            <v>S_01 - S_06</v>
          </cell>
          <cell r="D23" t="str">
            <v>Intercambiador exterior sucio. Limpiar.</v>
          </cell>
        </row>
        <row r="24">
          <cell r="B24" t="str">
            <v>S_01</v>
          </cell>
          <cell r="C24" t="str">
            <v>Unidad fuera de servicio.</v>
          </cell>
          <cell r="D24"/>
        </row>
        <row r="25">
          <cell r="B25" t="str">
            <v>S_01</v>
          </cell>
          <cell r="C25" t="str">
            <v>Tapa de protección de ductos salida.</v>
          </cell>
          <cell r="D25"/>
        </row>
        <row r="26">
          <cell r="B26" t="str">
            <v>S_02</v>
          </cell>
          <cell r="C26" t="str">
            <v>Materiales apoyados sobre ductos. Retirar.</v>
          </cell>
          <cell r="D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108">
          <cell r="B108" t="str">
            <v>2   ELÉCTRICA</v>
          </cell>
          <cell r="C108"/>
          <cell r="D108"/>
        </row>
        <row r="110">
          <cell r="B110" t="str">
            <v>Código</v>
          </cell>
          <cell r="C110" t="str">
            <v>Estado</v>
          </cell>
          <cell r="D110" t="str">
            <v>Mantenimiento</v>
          </cell>
        </row>
        <row r="111">
          <cell r="B111" t="str">
            <v>Generador</v>
          </cell>
          <cell r="C111" t="str">
            <v>Generador</v>
          </cell>
          <cell r="D111" t="str">
            <v>Proveedor</v>
          </cell>
        </row>
        <row r="112">
          <cell r="B112" t="str">
            <v>DV06_G_01</v>
          </cell>
          <cell r="C112">
            <v>2</v>
          </cell>
          <cell r="D112">
            <v>2</v>
          </cell>
        </row>
        <row r="113">
          <cell r="B113"/>
          <cell r="C113"/>
        </row>
        <row r="114">
          <cell r="B114"/>
          <cell r="C114"/>
        </row>
        <row r="115">
          <cell r="B115"/>
          <cell r="C115"/>
        </row>
        <row r="116">
          <cell r="B116" t="str">
            <v>GENERADOR</v>
          </cell>
          <cell r="C116"/>
          <cell r="D116" t="str">
            <v>Estado</v>
          </cell>
        </row>
        <row r="117">
          <cell r="B117" t="str">
            <v>Tanque de Combustible</v>
          </cell>
          <cell r="C117"/>
          <cell r="D117">
            <v>0.6</v>
          </cell>
        </row>
        <row r="118">
          <cell r="B118" t="str">
            <v>Batería</v>
          </cell>
          <cell r="C118"/>
          <cell r="D118" t="str">
            <v>OK</v>
          </cell>
        </row>
        <row r="119">
          <cell r="B119" t="str">
            <v xml:space="preserve">Liquido refrigerante </v>
          </cell>
          <cell r="C119"/>
          <cell r="D119" t="str">
            <v>OK</v>
          </cell>
        </row>
        <row r="120">
          <cell r="B120" t="str">
            <v>Lubricante</v>
          </cell>
          <cell r="C120"/>
          <cell r="D120" t="str">
            <v>OK</v>
          </cell>
        </row>
        <row r="121">
          <cell r="B121"/>
          <cell r="C121"/>
          <cell r="D121"/>
        </row>
        <row r="122">
          <cell r="B122" t="str">
            <v>Comentarios:</v>
          </cell>
          <cell r="C122" t="str">
            <v>Extremo de chimenea presenta roturas por avanzado estado de oxidación.</v>
          </cell>
          <cell r="D122"/>
        </row>
        <row r="155">
          <cell r="B155" t="str">
            <v>SUBESTACIÓN</v>
          </cell>
          <cell r="C155"/>
          <cell r="D155" t="str">
            <v>Estado</v>
          </cell>
        </row>
        <row r="156">
          <cell r="B156" t="str">
            <v>Objetos extraños</v>
          </cell>
          <cell r="C156"/>
          <cell r="D156" t="str">
            <v>OK</v>
          </cell>
        </row>
        <row r="157">
          <cell r="B157" t="str">
            <v>Filtraciones de agua</v>
          </cell>
          <cell r="C157"/>
          <cell r="D157" t="str">
            <v>OK</v>
          </cell>
        </row>
        <row r="158">
          <cell r="B158" t="str">
            <v>Tableros eléctricos</v>
          </cell>
          <cell r="C158"/>
          <cell r="D158" t="str">
            <v>OK</v>
          </cell>
        </row>
        <row r="159">
          <cell r="B159" t="str">
            <v>Bancos de 
condensadores</v>
          </cell>
          <cell r="C159"/>
          <cell r="D159" t="str">
            <v>OK</v>
          </cell>
        </row>
        <row r="160">
          <cell r="D160"/>
        </row>
        <row r="171">
          <cell r="B171"/>
        </row>
        <row r="172">
          <cell r="B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B201" t="str">
            <v>UPS</v>
          </cell>
          <cell r="C201"/>
          <cell r="D201" t="str">
            <v>Estado</v>
          </cell>
        </row>
        <row r="202">
          <cell r="B202" t="str">
            <v>UPS en línea</v>
          </cell>
          <cell r="C202"/>
          <cell r="D202" t="str">
            <v>OK</v>
          </cell>
        </row>
        <row r="203">
          <cell r="B203" t="str">
            <v>Aire acondicionado dedicado</v>
          </cell>
          <cell r="C203"/>
          <cell r="D203" t="str">
            <v>NO OK</v>
          </cell>
        </row>
        <row r="204">
          <cell r="B204" t="str">
            <v>Estado de carga de baterías</v>
          </cell>
          <cell r="C204"/>
          <cell r="D204" t="str">
            <v>OK</v>
          </cell>
        </row>
        <row r="205">
          <cell r="C205"/>
          <cell r="D205"/>
        </row>
        <row r="206">
          <cell r="B206"/>
          <cell r="C206"/>
          <cell r="D206"/>
        </row>
        <row r="207">
          <cell r="B207"/>
          <cell r="C207"/>
          <cell r="D207"/>
        </row>
        <row r="208">
          <cell r="C208"/>
          <cell r="D208"/>
        </row>
        <row r="209">
          <cell r="C209"/>
          <cell r="D209"/>
        </row>
        <row r="210">
          <cell r="C210"/>
          <cell r="D210"/>
        </row>
        <row r="211">
          <cell r="C211"/>
          <cell r="D211"/>
        </row>
        <row r="212">
          <cell r="C212"/>
          <cell r="D212"/>
        </row>
        <row r="213">
          <cell r="C213"/>
          <cell r="D213"/>
        </row>
        <row r="214">
          <cell r="B214" t="str">
            <v>3   GAS</v>
          </cell>
          <cell r="C214"/>
          <cell r="D214"/>
        </row>
        <row r="216">
          <cell r="B216" t="str">
            <v>GAS</v>
          </cell>
          <cell r="C216"/>
          <cell r="D216" t="str">
            <v>Estado</v>
          </cell>
        </row>
        <row r="217">
          <cell r="B217" t="str">
            <v>Flexibles autorizados</v>
          </cell>
          <cell r="C217"/>
          <cell r="D217" t="str">
            <v>OK</v>
          </cell>
        </row>
        <row r="218">
          <cell r="B218" t="str">
            <v>Sistema de corte por pánico</v>
          </cell>
          <cell r="C218"/>
          <cell r="D218" t="str">
            <v>OK</v>
          </cell>
        </row>
        <row r="219">
          <cell r="C219"/>
          <cell r="D219"/>
        </row>
        <row r="220">
          <cell r="B220" t="str">
            <v>Comentarios:</v>
          </cell>
          <cell r="C220" t="str">
            <v>Acometida principal de gas sin pintar.</v>
          </cell>
          <cell r="D220"/>
        </row>
        <row r="221">
          <cell r="B221"/>
          <cell r="C221" t="str">
            <v>Tramo de tubería de gas en rotisería sin pintar.</v>
          </cell>
          <cell r="D221"/>
        </row>
        <row r="222">
          <cell r="C222"/>
          <cell r="D222"/>
        </row>
        <row r="223">
          <cell r="C223"/>
          <cell r="D223"/>
        </row>
        <row r="224">
          <cell r="C224"/>
          <cell r="D224"/>
        </row>
        <row r="225">
          <cell r="C225"/>
          <cell r="D225"/>
        </row>
        <row r="226">
          <cell r="C226"/>
          <cell r="D226"/>
        </row>
        <row r="227">
          <cell r="C227"/>
          <cell r="D227"/>
        </row>
        <row r="228">
          <cell r="C228"/>
          <cell r="D228"/>
        </row>
        <row r="229">
          <cell r="C229"/>
          <cell r="D229"/>
        </row>
        <row r="230">
          <cell r="C230"/>
          <cell r="D230"/>
        </row>
        <row r="231">
          <cell r="C231"/>
          <cell r="D231"/>
        </row>
        <row r="232">
          <cell r="C232"/>
          <cell r="D232"/>
        </row>
        <row r="233">
          <cell r="C233"/>
          <cell r="D233"/>
        </row>
        <row r="234">
          <cell r="C234"/>
          <cell r="D234"/>
        </row>
        <row r="235">
          <cell r="C235"/>
          <cell r="D235"/>
        </row>
        <row r="236">
          <cell r="C236"/>
          <cell r="D236"/>
        </row>
        <row r="237">
          <cell r="C237"/>
          <cell r="D237"/>
        </row>
        <row r="238">
          <cell r="C238"/>
          <cell r="D238"/>
        </row>
        <row r="239">
          <cell r="C239"/>
          <cell r="D239"/>
        </row>
        <row r="240">
          <cell r="C240"/>
          <cell r="D240"/>
        </row>
        <row r="241">
          <cell r="C241"/>
          <cell r="D241"/>
        </row>
        <row r="242">
          <cell r="C242"/>
          <cell r="D242"/>
        </row>
        <row r="243">
          <cell r="C243"/>
          <cell r="D243"/>
        </row>
        <row r="244">
          <cell r="C244"/>
          <cell r="D244"/>
        </row>
        <row r="245">
          <cell r="C245"/>
          <cell r="D245"/>
        </row>
        <row r="246">
          <cell r="C246"/>
          <cell r="D246"/>
        </row>
        <row r="247">
          <cell r="C247"/>
          <cell r="D247"/>
        </row>
        <row r="248">
          <cell r="C248"/>
          <cell r="D248"/>
        </row>
        <row r="249">
          <cell r="C249"/>
          <cell r="D249"/>
        </row>
        <row r="250">
          <cell r="C250"/>
          <cell r="D250"/>
        </row>
        <row r="251">
          <cell r="C251"/>
          <cell r="D251"/>
        </row>
        <row r="252">
          <cell r="C252"/>
          <cell r="D252"/>
        </row>
        <row r="253">
          <cell r="C253"/>
          <cell r="D253"/>
        </row>
        <row r="254">
          <cell r="C254"/>
          <cell r="D254"/>
        </row>
        <row r="255">
          <cell r="C255"/>
          <cell r="D255"/>
        </row>
        <row r="256">
          <cell r="C256"/>
          <cell r="D256"/>
        </row>
        <row r="257">
          <cell r="C257"/>
          <cell r="D257"/>
        </row>
        <row r="258">
          <cell r="C258"/>
          <cell r="D258"/>
        </row>
        <row r="259">
          <cell r="C259"/>
          <cell r="D259"/>
        </row>
        <row r="260">
          <cell r="C260"/>
          <cell r="D260"/>
        </row>
        <row r="261">
          <cell r="C261"/>
          <cell r="D261"/>
        </row>
        <row r="262">
          <cell r="C262"/>
          <cell r="D262"/>
        </row>
        <row r="263">
          <cell r="C263"/>
          <cell r="D263"/>
        </row>
        <row r="264">
          <cell r="C264"/>
          <cell r="D264"/>
        </row>
        <row r="265">
          <cell r="C265"/>
          <cell r="D265"/>
        </row>
        <row r="266">
          <cell r="C266"/>
          <cell r="D266"/>
        </row>
        <row r="267">
          <cell r="C267"/>
          <cell r="D267"/>
        </row>
        <row r="268">
          <cell r="C268"/>
          <cell r="D268"/>
        </row>
        <row r="269">
          <cell r="C269"/>
          <cell r="D269"/>
        </row>
        <row r="270">
          <cell r="C270"/>
          <cell r="D270"/>
        </row>
        <row r="271">
          <cell r="C271"/>
          <cell r="D271"/>
        </row>
        <row r="272">
          <cell r="C272"/>
          <cell r="D272"/>
        </row>
        <row r="273">
          <cell r="C273"/>
          <cell r="D273"/>
        </row>
        <row r="274">
          <cell r="C274"/>
          <cell r="D274"/>
        </row>
        <row r="275">
          <cell r="C275"/>
          <cell r="D275"/>
        </row>
        <row r="276">
          <cell r="C276"/>
          <cell r="D276"/>
        </row>
        <row r="277">
          <cell r="C277"/>
          <cell r="D277"/>
        </row>
        <row r="278">
          <cell r="C278"/>
          <cell r="D278"/>
        </row>
        <row r="279">
          <cell r="C279"/>
          <cell r="D279"/>
        </row>
        <row r="280">
          <cell r="C280"/>
          <cell r="D280"/>
        </row>
        <row r="281">
          <cell r="C281"/>
          <cell r="D281"/>
        </row>
        <row r="282">
          <cell r="C282"/>
          <cell r="D282"/>
        </row>
        <row r="283">
          <cell r="C283"/>
          <cell r="D283"/>
        </row>
        <row r="284">
          <cell r="C284"/>
          <cell r="D284"/>
        </row>
        <row r="285">
          <cell r="C285"/>
          <cell r="D285"/>
        </row>
        <row r="286">
          <cell r="C286"/>
          <cell r="D286"/>
        </row>
        <row r="287">
          <cell r="C287"/>
          <cell r="D287"/>
        </row>
        <row r="288">
          <cell r="C288"/>
          <cell r="D288"/>
        </row>
        <row r="289">
          <cell r="C289"/>
          <cell r="D289"/>
        </row>
        <row r="290">
          <cell r="C290"/>
          <cell r="D290"/>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4J7VXAGO7FFEK5TMYTCWP5HK5">
      <xxl21:absoluteUrl r:id="rId2"/>
    </xxl21:alternateUrls>
    <sheetNames>
      <sheetName val="Informe"/>
      <sheetName val="ROOFTOP"/>
      <sheetName val="MINISPLITS"/>
    </sheetNames>
    <sheetDataSet>
      <sheetData sheetId="0">
        <row r="5">
          <cell r="B5" t="str">
            <v>SUCURSAL:</v>
          </cell>
          <cell r="C5" t="str">
            <v>DEVOTO 07</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DV07_R_01</v>
          </cell>
          <cell r="C13">
            <v>1</v>
          </cell>
          <cell r="D13">
            <v>2</v>
          </cell>
        </row>
        <row r="14">
          <cell r="B14" t="str">
            <v>DV07_R_02</v>
          </cell>
          <cell r="C14">
            <v>1</v>
          </cell>
          <cell r="D14">
            <v>2</v>
          </cell>
        </row>
        <row r="15">
          <cell r="B15" t="str">
            <v>DV07_R_03</v>
          </cell>
          <cell r="C15">
            <v>1</v>
          </cell>
          <cell r="D15">
            <v>2</v>
          </cell>
        </row>
        <row r="16">
          <cell r="D16"/>
        </row>
        <row r="17">
          <cell r="B17" t="str">
            <v>Comentarios:</v>
          </cell>
          <cell r="C17" t="str">
            <v>Retirar ductos y otros elementos uera de servicio de planta.</v>
          </cell>
          <cell r="D17"/>
        </row>
        <row r="18">
          <cell r="B18" t="str">
            <v>R_01</v>
          </cell>
          <cell r="C18" t="str">
            <v>Bandeja Daisa de acometida eléctricaabollada y sin tapa. Reparar.</v>
          </cell>
          <cell r="D18"/>
        </row>
        <row r="19">
          <cell r="B19" t="str">
            <v>R_01</v>
          </cell>
          <cell r="C19" t="str">
            <v>Filtros interiores sucios.</v>
          </cell>
          <cell r="D19"/>
        </row>
        <row r="20">
          <cell r="B20" t="str">
            <v>R_02</v>
          </cell>
          <cell r="C20" t="str">
            <v>Agua de condensación cae por gabinete hacia planta.</v>
          </cell>
          <cell r="D20"/>
        </row>
        <row r="21">
          <cell r="B21" t="str">
            <v>R_03</v>
          </cell>
          <cell r="C21" t="str">
            <v>Bandeja Daisa de acometida eléctrica con bandejas caídas.</v>
          </cell>
          <cell r="D21"/>
        </row>
        <row r="22">
          <cell r="B22" t="str">
            <v>R_03</v>
          </cell>
          <cell r="C22" t="str">
            <v>Cerca eléctrica genera gran dificultad para acceso a puerta de filtros.</v>
          </cell>
          <cell r="D22"/>
        </row>
        <row r="23">
          <cell r="B23" t="str">
            <v xml:space="preserve">R_01 - R_03 </v>
          </cell>
          <cell r="C23" t="str">
            <v>Intercambiadores exteriores muy deteriorados.</v>
          </cell>
          <cell r="D23"/>
        </row>
        <row r="24">
          <cell r="B24"/>
        </row>
        <row r="25">
          <cell r="B25"/>
        </row>
        <row r="59">
          <cell r="B59"/>
        </row>
        <row r="60">
          <cell r="B60"/>
        </row>
        <row r="61">
          <cell r="B61"/>
        </row>
        <row r="62">
          <cell r="B62"/>
        </row>
        <row r="63">
          <cell r="B63"/>
        </row>
        <row r="64">
          <cell r="B64"/>
        </row>
        <row r="65">
          <cell r="B65"/>
        </row>
        <row r="66">
          <cell r="B66"/>
        </row>
        <row r="67">
          <cell r="B67" t="str">
            <v>2   ELÉCTRICA</v>
          </cell>
          <cell r="C67"/>
          <cell r="D67"/>
        </row>
        <row r="69">
          <cell r="B69" t="str">
            <v>Código</v>
          </cell>
          <cell r="C69" t="str">
            <v>Estado</v>
          </cell>
          <cell r="D69" t="str">
            <v>Mantenimiento</v>
          </cell>
        </row>
        <row r="70">
          <cell r="B70" t="str">
            <v>Generador</v>
          </cell>
          <cell r="C70" t="str">
            <v>Generador</v>
          </cell>
          <cell r="D70" t="str">
            <v>Proveedor</v>
          </cell>
        </row>
        <row r="71">
          <cell r="B71" t="str">
            <v>DV07_G_01</v>
          </cell>
          <cell r="C71">
            <v>2</v>
          </cell>
          <cell r="D71">
            <v>2</v>
          </cell>
        </row>
        <row r="72">
          <cell r="B72"/>
          <cell r="C72"/>
          <cell r="D72"/>
        </row>
        <row r="73">
          <cell r="B73" t="str">
            <v>GENERADOR</v>
          </cell>
          <cell r="C73"/>
          <cell r="D73" t="str">
            <v>Estado</v>
          </cell>
        </row>
        <row r="74">
          <cell r="B74" t="str">
            <v>Combustible</v>
          </cell>
          <cell r="C74"/>
          <cell r="D74" t="str">
            <v>-</v>
          </cell>
        </row>
        <row r="75">
          <cell r="B75" t="str">
            <v>Batería</v>
          </cell>
          <cell r="C75"/>
          <cell r="D75" t="str">
            <v>OK</v>
          </cell>
        </row>
        <row r="76">
          <cell r="B76" t="str">
            <v>Liquido refrigerante</v>
          </cell>
          <cell r="C76"/>
          <cell r="D76" t="str">
            <v>OK</v>
          </cell>
        </row>
        <row r="77">
          <cell r="B77" t="str">
            <v>Aceite</v>
          </cell>
          <cell r="C77"/>
          <cell r="D77" t="str">
            <v>OK</v>
          </cell>
        </row>
        <row r="78">
          <cell r="B78"/>
          <cell r="C78"/>
          <cell r="D78"/>
        </row>
        <row r="79">
          <cell r="B79" t="str">
            <v>Comentarios:</v>
          </cell>
          <cell r="C79" t="str">
            <v>Proteger correas.</v>
          </cell>
          <cell r="D79"/>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t="str">
            <v>SUBESTACIÓN</v>
          </cell>
          <cell r="C113"/>
          <cell r="D113" t="str">
            <v>Estado</v>
          </cell>
        </row>
        <row r="114">
          <cell r="B114" t="str">
            <v>Objetos extraños</v>
          </cell>
          <cell r="C114"/>
          <cell r="D114" t="str">
            <v>OK</v>
          </cell>
        </row>
        <row r="115">
          <cell r="B115" t="str">
            <v>Filtraciones de agua</v>
          </cell>
          <cell r="C115"/>
          <cell r="D115" t="str">
            <v>OK</v>
          </cell>
        </row>
        <row r="116">
          <cell r="B116" t="str">
            <v>Tableros eléctricos</v>
          </cell>
          <cell r="C116"/>
          <cell r="D116" t="str">
            <v>OK</v>
          </cell>
        </row>
        <row r="117">
          <cell r="B117" t="str">
            <v>Bancos de _x000D_condensadores</v>
          </cell>
          <cell r="C117"/>
          <cell r="D117" t="str">
            <v>OK</v>
          </cell>
        </row>
        <row r="132">
          <cell r="B132"/>
        </row>
        <row r="133">
          <cell r="B133"/>
        </row>
        <row r="134">
          <cell r="B134"/>
        </row>
        <row r="135">
          <cell r="B135"/>
        </row>
        <row r="136">
          <cell r="B136"/>
        </row>
        <row r="137">
          <cell r="B137"/>
        </row>
        <row r="138">
          <cell r="B138"/>
        </row>
        <row r="139">
          <cell r="B139"/>
        </row>
        <row r="140">
          <cell r="B140"/>
        </row>
        <row r="141">
          <cell r="B141"/>
        </row>
        <row r="142">
          <cell r="B142"/>
        </row>
        <row r="143">
          <cell r="B143"/>
        </row>
        <row r="144">
          <cell r="B144"/>
        </row>
        <row r="145">
          <cell r="B145"/>
        </row>
        <row r="146">
          <cell r="B146"/>
        </row>
        <row r="147">
          <cell r="B147"/>
        </row>
        <row r="148">
          <cell r="B148"/>
        </row>
        <row r="149">
          <cell r="B149"/>
        </row>
        <row r="150">
          <cell r="B150"/>
        </row>
        <row r="151">
          <cell r="B151"/>
        </row>
        <row r="152">
          <cell r="B152"/>
        </row>
        <row r="153">
          <cell r="B153"/>
        </row>
        <row r="154">
          <cell r="B154"/>
        </row>
        <row r="155">
          <cell r="B155"/>
        </row>
        <row r="156">
          <cell r="B156" t="str">
            <v>UPS</v>
          </cell>
          <cell r="C156"/>
          <cell r="D156" t="str">
            <v>Estado</v>
          </cell>
        </row>
        <row r="157">
          <cell r="B157" t="str">
            <v>UPS en linea</v>
          </cell>
          <cell r="C157"/>
          <cell r="D157" t="str">
            <v>OK</v>
          </cell>
        </row>
        <row r="158">
          <cell r="B158" t="str">
            <v>Aire acondicionado dedicado</v>
          </cell>
          <cell r="C158"/>
          <cell r="D158" t="str">
            <v>OK</v>
          </cell>
        </row>
        <row r="159">
          <cell r="B159" t="str">
            <v>Estado de carga de baterías</v>
          </cell>
          <cell r="C159"/>
          <cell r="D159" t="str">
            <v>OK</v>
          </cell>
        </row>
        <row r="160">
          <cell r="B160"/>
        </row>
        <row r="161">
          <cell r="B161" t="str">
            <v>Comentarios:</v>
          </cell>
          <cell r="C161" t="str">
            <v>Colocar rejilla frontal faltante.</v>
          </cell>
          <cell r="D161"/>
        </row>
        <row r="171">
          <cell r="B171" t="str">
            <v>3   GAS</v>
          </cell>
          <cell r="C171"/>
          <cell r="D171"/>
        </row>
        <row r="173">
          <cell r="B173" t="str">
            <v>Comentarios:</v>
          </cell>
          <cell r="C173" t="str">
            <v>N/A</v>
          </cell>
          <cell r="D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row>
        <row r="189">
          <cell r="B189"/>
        </row>
        <row r="190">
          <cell r="B190"/>
        </row>
        <row r="191">
          <cell r="B191"/>
        </row>
        <row r="192">
          <cell r="B192"/>
        </row>
        <row r="193">
          <cell r="B193"/>
        </row>
        <row r="194">
          <cell r="B194"/>
        </row>
        <row r="195">
          <cell r="B195"/>
        </row>
        <row r="196">
          <cell r="B196"/>
        </row>
        <row r="197">
          <cell r="B197"/>
        </row>
        <row r="198">
          <cell r="B198"/>
        </row>
        <row r="199">
          <cell r="B199"/>
        </row>
        <row r="200">
          <cell r="B200"/>
        </row>
        <row r="201">
          <cell r="B201"/>
        </row>
        <row r="202">
          <cell r="B202"/>
        </row>
        <row r="203">
          <cell r="B203"/>
        </row>
        <row r="204">
          <cell r="B204"/>
        </row>
        <row r="205">
          <cell r="B205"/>
        </row>
        <row r="206">
          <cell r="B206"/>
        </row>
        <row r="207">
          <cell r="B207"/>
        </row>
        <row r="208">
          <cell r="B208"/>
        </row>
        <row r="209">
          <cell r="B209"/>
        </row>
        <row r="210">
          <cell r="B210"/>
        </row>
        <row r="211">
          <cell r="B211"/>
        </row>
        <row r="212">
          <cell r="B212"/>
        </row>
        <row r="213">
          <cell r="B213"/>
        </row>
        <row r="214">
          <cell r="B214"/>
        </row>
        <row r="215">
          <cell r="B215"/>
        </row>
        <row r="216">
          <cell r="B216"/>
        </row>
        <row r="217">
          <cell r="B217"/>
        </row>
        <row r="218">
          <cell r="B218"/>
        </row>
        <row r="219">
          <cell r="B219"/>
        </row>
        <row r="220">
          <cell r="B220"/>
        </row>
        <row r="221">
          <cell r="B221"/>
        </row>
        <row r="222">
          <cell r="C222"/>
          <cell r="D222"/>
        </row>
        <row r="223">
          <cell r="C223"/>
          <cell r="D223"/>
        </row>
        <row r="224">
          <cell r="C224"/>
          <cell r="D224"/>
        </row>
        <row r="225">
          <cell r="C225"/>
          <cell r="D225"/>
        </row>
        <row r="226">
          <cell r="C226"/>
          <cell r="D226"/>
        </row>
        <row r="227">
          <cell r="C227"/>
          <cell r="D227"/>
        </row>
        <row r="228">
          <cell r="C228"/>
          <cell r="D228"/>
        </row>
        <row r="229">
          <cell r="C229"/>
          <cell r="D229"/>
        </row>
        <row r="230">
          <cell r="C230"/>
          <cell r="D230"/>
        </row>
        <row r="231">
          <cell r="C231"/>
          <cell r="D231"/>
        </row>
        <row r="232">
          <cell r="C232"/>
          <cell r="D232"/>
        </row>
        <row r="233">
          <cell r="C233"/>
          <cell r="D233"/>
        </row>
        <row r="234">
          <cell r="C234"/>
          <cell r="D234"/>
        </row>
        <row r="235">
          <cell r="C235"/>
          <cell r="D235"/>
        </row>
        <row r="236">
          <cell r="C236"/>
          <cell r="D236"/>
        </row>
        <row r="237">
          <cell r="C237"/>
          <cell r="D237"/>
        </row>
        <row r="238">
          <cell r="C238"/>
          <cell r="D238"/>
        </row>
        <row r="239">
          <cell r="C239"/>
          <cell r="D239"/>
        </row>
        <row r="240">
          <cell r="C240"/>
          <cell r="D240"/>
        </row>
        <row r="241">
          <cell r="C241"/>
          <cell r="D241"/>
        </row>
        <row r="242">
          <cell r="C242"/>
          <cell r="D242"/>
        </row>
        <row r="243">
          <cell r="C243"/>
          <cell r="D243"/>
        </row>
        <row r="244">
          <cell r="C244"/>
          <cell r="D244"/>
        </row>
        <row r="245">
          <cell r="C245"/>
          <cell r="D245"/>
        </row>
        <row r="246">
          <cell r="C246"/>
          <cell r="D246"/>
        </row>
        <row r="247">
          <cell r="C247"/>
          <cell r="D247"/>
        </row>
        <row r="248">
          <cell r="C248"/>
          <cell r="D248"/>
        </row>
        <row r="249">
          <cell r="C249"/>
          <cell r="D249"/>
        </row>
        <row r="250">
          <cell r="C250"/>
          <cell r="D250"/>
        </row>
        <row r="251">
          <cell r="C251"/>
          <cell r="D251"/>
        </row>
        <row r="252">
          <cell r="C252"/>
          <cell r="D252"/>
        </row>
        <row r="253">
          <cell r="C253"/>
          <cell r="D253"/>
        </row>
        <row r="254">
          <cell r="C254"/>
          <cell r="D254"/>
        </row>
        <row r="255">
          <cell r="C255"/>
          <cell r="D255"/>
        </row>
        <row r="256">
          <cell r="C256"/>
          <cell r="D256"/>
        </row>
        <row r="257">
          <cell r="C257"/>
          <cell r="D257"/>
        </row>
        <row r="258">
          <cell r="C258"/>
          <cell r="D258"/>
        </row>
        <row r="259">
          <cell r="C259"/>
          <cell r="D259"/>
        </row>
        <row r="260">
          <cell r="C260"/>
          <cell r="D260"/>
        </row>
      </sheetData>
      <sheetData sheetId="1"/>
      <sheetData sheetId="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2JR6I7W6XR3FBJCTJYSCASLJLE">
      <xxl21:absoluteUrl r:id="rId2"/>
    </xxl21:alternateUrls>
    <sheetNames>
      <sheetName val="Informe"/>
    </sheetNames>
    <sheetDataSet>
      <sheetData sheetId="0">
        <row r="5">
          <cell r="B5" t="str">
            <v>SUCURSAL:</v>
          </cell>
          <cell r="C5" t="str">
            <v>DEVOTO 08</v>
          </cell>
        </row>
        <row r="7">
          <cell r="B7" t="str">
            <v>1   AIRE ACONDICIONADO</v>
          </cell>
          <cell r="C7"/>
          <cell r="D7"/>
        </row>
        <row r="9">
          <cell r="B9" t="str">
            <v>CD/CI_x000D_
Sucursal</v>
          </cell>
          <cell r="C9">
            <v>0.66666666666666663</v>
          </cell>
        </row>
        <row r="11">
          <cell r="B11" t="str">
            <v>Código</v>
          </cell>
          <cell r="C11"/>
          <cell r="D11" t="str">
            <v>Estado del equipo</v>
          </cell>
        </row>
        <row r="12">
          <cell r="B12" t="str">
            <v>Equipo</v>
          </cell>
          <cell r="C12" t="str">
            <v>Intercambiadores</v>
          </cell>
          <cell r="D12" t="str">
            <v>Gabinete</v>
          </cell>
        </row>
        <row r="13">
          <cell r="B13" t="str">
            <v>DV08_S_01</v>
          </cell>
          <cell r="C13">
            <v>2</v>
          </cell>
          <cell r="D13">
            <v>3</v>
          </cell>
        </row>
        <row r="14">
          <cell r="B14" t="str">
            <v>DV08_S_02</v>
          </cell>
          <cell r="C14">
            <v>2</v>
          </cell>
          <cell r="D14">
            <v>3</v>
          </cell>
        </row>
        <row r="15">
          <cell r="B15" t="str">
            <v>DV08_S_03</v>
          </cell>
          <cell r="C15">
            <v>2</v>
          </cell>
          <cell r="D15">
            <v>3</v>
          </cell>
        </row>
        <row r="16">
          <cell r="D16"/>
        </row>
        <row r="17">
          <cell r="B17" t="str">
            <v>Comentarios:</v>
          </cell>
          <cell r="C17"/>
          <cell r="D17"/>
        </row>
        <row r="18">
          <cell r="B18" t="str">
            <v>S_02</v>
          </cell>
          <cell r="C18" t="str">
            <v>Motor en reparación. Fuera de servicio momentaneamente.</v>
          </cell>
          <cell r="D18"/>
        </row>
        <row r="19">
          <cell r="B19" t="str">
            <v>S_03</v>
          </cell>
          <cell r="C19" t="str">
            <v>Filtraciones sobre unidad interior. Reparar y quitar balde.</v>
          </cell>
          <cell r="D19"/>
        </row>
        <row r="20">
          <cell r="B20"/>
        </row>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t="str">
            <v>2   ELÉCTRICA</v>
          </cell>
          <cell r="C46"/>
          <cell r="D46"/>
        </row>
        <row r="48">
          <cell r="B48" t="str">
            <v>Código</v>
          </cell>
          <cell r="C48" t="str">
            <v>Estado</v>
          </cell>
          <cell r="D48" t="str">
            <v>Mantenimiento</v>
          </cell>
        </row>
        <row r="49">
          <cell r="B49" t="str">
            <v>Generador</v>
          </cell>
          <cell r="C49" t="str">
            <v>Generador</v>
          </cell>
          <cell r="D49" t="str">
            <v>Proveedor</v>
          </cell>
        </row>
        <row r="50">
          <cell r="B50" t="str">
            <v>DV08_G_01</v>
          </cell>
          <cell r="C50">
            <v>2</v>
          </cell>
          <cell r="D50">
            <v>2</v>
          </cell>
        </row>
        <row r="52">
          <cell r="B52" t="str">
            <v>GENERADOR</v>
          </cell>
          <cell r="C52"/>
          <cell r="D52" t="str">
            <v>Estado</v>
          </cell>
        </row>
        <row r="53">
          <cell r="B53" t="str">
            <v>Tanque de Combustible</v>
          </cell>
          <cell r="C53"/>
          <cell r="D53">
            <v>0.8</v>
          </cell>
        </row>
        <row r="54">
          <cell r="B54" t="str">
            <v>Batería</v>
          </cell>
          <cell r="C54"/>
          <cell r="D54" t="str">
            <v>OK</v>
          </cell>
        </row>
        <row r="55">
          <cell r="B55" t="str">
            <v>Liquido refrigerante</v>
          </cell>
          <cell r="C55"/>
          <cell r="D55" t="str">
            <v>NO OK</v>
          </cell>
        </row>
        <row r="56">
          <cell r="B56" t="str">
            <v>Aceite</v>
          </cell>
          <cell r="C56"/>
          <cell r="D56" t="str">
            <v>OK</v>
          </cell>
        </row>
        <row r="58">
          <cell r="B58" t="str">
            <v>Comentarios:</v>
          </cell>
          <cell r="C58" t="str">
            <v>No se aprecia presencia de refrigerante en tanque. Verificar.</v>
          </cell>
          <cell r="D58"/>
        </row>
        <row r="59">
          <cell r="B59"/>
          <cell r="C59" t="str">
            <v>Realizar proteccion para limitar acceso a correas.</v>
          </cell>
          <cell r="D59"/>
        </row>
        <row r="60">
          <cell r="B60"/>
        </row>
        <row r="61">
          <cell r="B61"/>
        </row>
        <row r="86">
          <cell r="B86" t="str">
            <v>SUBESTACIÓN</v>
          </cell>
          <cell r="C86"/>
          <cell r="D86" t="str">
            <v>Estado</v>
          </cell>
        </row>
        <row r="87">
          <cell r="B87" t="str">
            <v>Objetos extraños</v>
          </cell>
          <cell r="C87"/>
          <cell r="D87" t="str">
            <v>OK</v>
          </cell>
        </row>
        <row r="88">
          <cell r="B88" t="str">
            <v>Filtraciones de agua</v>
          </cell>
          <cell r="C88"/>
          <cell r="D88" t="str">
            <v>OK</v>
          </cell>
        </row>
        <row r="89">
          <cell r="B89" t="str">
            <v>Tableros eléctricos</v>
          </cell>
          <cell r="C89"/>
          <cell r="D89" t="str">
            <v>NO OK</v>
          </cell>
        </row>
        <row r="90">
          <cell r="B90" t="str">
            <v>Bancos de _x000D_condensadores</v>
          </cell>
          <cell r="C90"/>
          <cell r="D90" t="str">
            <v>OK</v>
          </cell>
        </row>
        <row r="92">
          <cell r="B92" t="str">
            <v>Comentarios:</v>
          </cell>
          <cell r="C92" t="str">
            <v>Tercer interruptor TERASAKI desde la izquierda acometida superior derecha 49°C. Verificar.</v>
          </cell>
          <cell r="D92"/>
        </row>
        <row r="93">
          <cell r="B93"/>
          <cell r="C93"/>
        </row>
        <row r="94">
          <cell r="B94"/>
          <cell r="C94"/>
        </row>
        <row r="95">
          <cell r="B95"/>
          <cell r="C95"/>
        </row>
        <row r="96">
          <cell r="B96"/>
          <cell r="C96"/>
        </row>
        <row r="97">
          <cell r="B97"/>
          <cell r="C97"/>
        </row>
        <row r="98">
          <cell r="B98"/>
          <cell r="C98"/>
        </row>
        <row r="99">
          <cell r="B99"/>
          <cell r="C99"/>
        </row>
        <row r="100">
          <cell r="B100"/>
          <cell r="C100"/>
        </row>
        <row r="101">
          <cell r="B101"/>
          <cell r="C101"/>
        </row>
        <row r="102">
          <cell r="B102"/>
          <cell r="C102"/>
        </row>
        <row r="103">
          <cell r="B103"/>
          <cell r="C103"/>
        </row>
        <row r="104">
          <cell r="B104"/>
          <cell r="C104"/>
        </row>
        <row r="105">
          <cell r="B105"/>
          <cell r="C105"/>
        </row>
        <row r="106">
          <cell r="B106"/>
          <cell r="C106"/>
        </row>
        <row r="107">
          <cell r="B107"/>
          <cell r="C107"/>
        </row>
        <row r="108">
          <cell r="B108"/>
          <cell r="C108"/>
        </row>
        <row r="109">
          <cell r="B109"/>
          <cell r="C109"/>
        </row>
        <row r="110">
          <cell r="B110"/>
          <cell r="C110"/>
        </row>
        <row r="111">
          <cell r="B111"/>
          <cell r="C111"/>
        </row>
        <row r="112">
          <cell r="B112"/>
          <cell r="C112"/>
        </row>
        <row r="113">
          <cell r="B113"/>
          <cell r="C113"/>
        </row>
        <row r="114">
          <cell r="B114"/>
          <cell r="C114"/>
        </row>
        <row r="115">
          <cell r="B115"/>
          <cell r="C115"/>
        </row>
        <row r="116">
          <cell r="B116"/>
          <cell r="C116"/>
        </row>
        <row r="117">
          <cell r="B117"/>
          <cell r="C117"/>
        </row>
        <row r="118">
          <cell r="B118"/>
          <cell r="C118"/>
        </row>
        <row r="119">
          <cell r="B119"/>
          <cell r="C119"/>
        </row>
        <row r="120">
          <cell r="B120"/>
          <cell r="C120"/>
        </row>
        <row r="121">
          <cell r="B121"/>
          <cell r="C121"/>
        </row>
        <row r="122">
          <cell r="B122"/>
          <cell r="C122"/>
        </row>
        <row r="123">
          <cell r="B123"/>
          <cell r="C123"/>
        </row>
        <row r="124">
          <cell r="B124"/>
          <cell r="C124"/>
        </row>
        <row r="125">
          <cell r="B125"/>
          <cell r="C125"/>
        </row>
        <row r="126">
          <cell r="B126"/>
          <cell r="C126"/>
        </row>
        <row r="127">
          <cell r="B127"/>
          <cell r="C127"/>
        </row>
        <row r="128">
          <cell r="B128"/>
          <cell r="C128"/>
        </row>
        <row r="129">
          <cell r="B129"/>
          <cell r="C129"/>
        </row>
        <row r="130">
          <cell r="B130"/>
          <cell r="C130"/>
        </row>
        <row r="131">
          <cell r="B131"/>
          <cell r="C131"/>
        </row>
        <row r="132">
          <cell r="B132"/>
          <cell r="C132"/>
        </row>
        <row r="133">
          <cell r="B133" t="str">
            <v>UPS</v>
          </cell>
          <cell r="C133"/>
          <cell r="D133" t="str">
            <v>Estado</v>
          </cell>
        </row>
        <row r="134">
          <cell r="B134" t="str">
            <v>UPS en linea</v>
          </cell>
          <cell r="C134"/>
          <cell r="D134" t="str">
            <v>OK</v>
          </cell>
        </row>
        <row r="135">
          <cell r="B135" t="str">
            <v>Aire acondicionado dedicado</v>
          </cell>
          <cell r="C135"/>
          <cell r="D135" t="str">
            <v>OK</v>
          </cell>
        </row>
        <row r="136">
          <cell r="B136" t="str">
            <v>Estado de carga de baterías</v>
          </cell>
          <cell r="C136"/>
          <cell r="D136" t="str">
            <v>OK</v>
          </cell>
        </row>
        <row r="137">
          <cell r="B137"/>
        </row>
        <row r="138">
          <cell r="B138" t="str">
            <v>Comentarios:</v>
          </cell>
          <cell r="C138" t="str">
            <v>Limpiar rejillas frontales y laterales</v>
          </cell>
          <cell r="D138"/>
        </row>
        <row r="139">
          <cell r="B139"/>
        </row>
        <row r="140">
          <cell r="B140"/>
        </row>
        <row r="141">
          <cell r="B141"/>
        </row>
        <row r="142">
          <cell r="B142"/>
        </row>
        <row r="143">
          <cell r="B143"/>
        </row>
        <row r="144">
          <cell r="B144"/>
        </row>
        <row r="145">
          <cell r="B145"/>
        </row>
        <row r="146">
          <cell r="B146"/>
        </row>
        <row r="147">
          <cell r="B147"/>
        </row>
        <row r="148">
          <cell r="B148" t="str">
            <v>3   GAS</v>
          </cell>
          <cell r="C148"/>
          <cell r="D148"/>
        </row>
        <row r="150">
          <cell r="B150" t="str">
            <v>GAS</v>
          </cell>
          <cell r="C150"/>
          <cell r="D150" t="str">
            <v>Estado</v>
          </cell>
        </row>
        <row r="151">
          <cell r="B151" t="str">
            <v>Flexibles autorizados</v>
          </cell>
          <cell r="C151"/>
          <cell r="D151" t="str">
            <v>OK</v>
          </cell>
        </row>
        <row r="152">
          <cell r="B152" t="str">
            <v>Sistema de corte por pánico</v>
          </cell>
          <cell r="C152"/>
          <cell r="D152" t="str">
            <v>N/A</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ZR5E3W3UGG6VFZU36DBZGJW3W6">
      <xxl21:absoluteUrl r:id="rId2"/>
    </xxl21:alternateUrls>
    <sheetNames>
      <sheetName val="Informe"/>
    </sheetNames>
    <sheetDataSet>
      <sheetData sheetId="0">
        <row r="5">
          <cell r="B5" t="str">
            <v>SUCURSAL:</v>
          </cell>
          <cell r="C5" t="str">
            <v>DEVOTO 09</v>
          </cell>
          <cell r="D5"/>
        </row>
        <row r="6">
          <cell r="B6"/>
        </row>
        <row r="7">
          <cell r="B7" t="str">
            <v>1   AIRE ACONDICIONADO</v>
          </cell>
          <cell r="C7"/>
          <cell r="D7"/>
        </row>
        <row r="9">
          <cell r="B9" t="str">
            <v>CD/CI_x000D__x000D_
Sucursal</v>
          </cell>
          <cell r="C9">
            <v>1</v>
          </cell>
          <cell r="D9"/>
        </row>
        <row r="11">
          <cell r="B11" t="str">
            <v>Código</v>
          </cell>
          <cell r="C11"/>
          <cell r="D11"/>
        </row>
        <row r="12">
          <cell r="B12" t="str">
            <v>Equipo</v>
          </cell>
          <cell r="C12" t="str">
            <v>Intercambiadores</v>
          </cell>
          <cell r="D12" t="str">
            <v>Gabinete</v>
          </cell>
        </row>
        <row r="13">
          <cell r="B13" t="str">
            <v>DV09_CH_01</v>
          </cell>
          <cell r="C13">
            <v>2</v>
          </cell>
          <cell r="D13">
            <v>3</v>
          </cell>
        </row>
        <row r="14">
          <cell r="B14" t="str">
            <v>DV09_CH_02</v>
          </cell>
          <cell r="C14">
            <v>2</v>
          </cell>
          <cell r="D14">
            <v>3</v>
          </cell>
        </row>
        <row r="15">
          <cell r="B15" t="str">
            <v>DV09_M_AC 01</v>
          </cell>
          <cell r="C15">
            <v>2</v>
          </cell>
          <cell r="D15">
            <v>2</v>
          </cell>
        </row>
        <row r="16">
          <cell r="B16" t="str">
            <v>DV09_M_AC 02</v>
          </cell>
          <cell r="C16">
            <v>2</v>
          </cell>
          <cell r="D16">
            <v>2</v>
          </cell>
        </row>
        <row r="17">
          <cell r="B17" t="str">
            <v>DV09_M_AC 03</v>
          </cell>
          <cell r="C17">
            <v>2</v>
          </cell>
          <cell r="D17">
            <v>2</v>
          </cell>
        </row>
        <row r="18">
          <cell r="B18" t="str">
            <v>DV09_M_AC 04</v>
          </cell>
          <cell r="C18">
            <v>2</v>
          </cell>
          <cell r="D18">
            <v>2</v>
          </cell>
        </row>
        <row r="19">
          <cell r="B19" t="str">
            <v>DV09_M_AC 05</v>
          </cell>
          <cell r="C19">
            <v>2</v>
          </cell>
          <cell r="D19">
            <v>2</v>
          </cell>
        </row>
        <row r="20">
          <cell r="B20" t="str">
            <v>DV09_M_AC 06</v>
          </cell>
          <cell r="C20">
            <v>2</v>
          </cell>
          <cell r="D20">
            <v>2</v>
          </cell>
        </row>
        <row r="21">
          <cell r="B21" t="str">
            <v>DV09_M_AC 07</v>
          </cell>
          <cell r="C21">
            <v>2</v>
          </cell>
          <cell r="D21">
            <v>2</v>
          </cell>
        </row>
        <row r="22">
          <cell r="B22" t="str">
            <v>DV09_M_AC 08</v>
          </cell>
          <cell r="C22">
            <v>2</v>
          </cell>
          <cell r="D22">
            <v>2</v>
          </cell>
        </row>
        <row r="23">
          <cell r="B23" t="str">
            <v>DV09_M_AC 09</v>
          </cell>
          <cell r="C23">
            <v>2</v>
          </cell>
          <cell r="D23">
            <v>2</v>
          </cell>
        </row>
        <row r="24">
          <cell r="B24" t="str">
            <v>DV09_M_AC 10</v>
          </cell>
          <cell r="C24">
            <v>2</v>
          </cell>
          <cell r="D24">
            <v>2</v>
          </cell>
        </row>
        <row r="25">
          <cell r="B25" t="str">
            <v>DV09_M_AC 11</v>
          </cell>
          <cell r="C25">
            <v>2</v>
          </cell>
          <cell r="D25">
            <v>2</v>
          </cell>
        </row>
        <row r="26">
          <cell r="B26" t="str">
            <v>DV09_M_AC 12</v>
          </cell>
          <cell r="C26">
            <v>2</v>
          </cell>
          <cell r="D26">
            <v>2</v>
          </cell>
        </row>
        <row r="27">
          <cell r="B27" t="str">
            <v>DV09_M_AC 13</v>
          </cell>
          <cell r="C27">
            <v>2</v>
          </cell>
          <cell r="D27">
            <v>2</v>
          </cell>
        </row>
        <row r="28">
          <cell r="B28" t="str">
            <v>DV09_S_01 (Cocina)</v>
          </cell>
          <cell r="C28">
            <v>3</v>
          </cell>
          <cell r="D28">
            <v>2</v>
          </cell>
        </row>
        <row r="29">
          <cell r="B29" t="str">
            <v>DV09_S_02 (Salón)</v>
          </cell>
          <cell r="C29">
            <v>2</v>
          </cell>
          <cell r="D29">
            <v>2</v>
          </cell>
        </row>
        <row r="30">
          <cell r="B30" t="str">
            <v>DV09_S_03 (Postres Light)</v>
          </cell>
          <cell r="C30">
            <v>2</v>
          </cell>
          <cell r="D30">
            <v>2</v>
          </cell>
        </row>
        <row r="31">
          <cell r="B31" t="str">
            <v>DV09_S_04 (Quesos)</v>
          </cell>
          <cell r="C31">
            <v>3</v>
          </cell>
          <cell r="D31">
            <v>3</v>
          </cell>
        </row>
        <row r="32">
          <cell r="B32" t="str">
            <v>DV09_S_05 (Spiedo)</v>
          </cell>
          <cell r="C32">
            <v>3</v>
          </cell>
          <cell r="D32">
            <v>3</v>
          </cell>
        </row>
        <row r="33">
          <cell r="B33" t="str">
            <v>DV09_S_06 (Cocina Bar)</v>
          </cell>
          <cell r="C33">
            <v>3</v>
          </cell>
          <cell r="D33">
            <v>3</v>
          </cell>
        </row>
        <row r="34">
          <cell r="B34" t="str">
            <v>DV09_S_07 (Baños Bar)</v>
          </cell>
          <cell r="C34">
            <v>2</v>
          </cell>
          <cell r="D34">
            <v>2</v>
          </cell>
        </row>
        <row r="35">
          <cell r="B35"/>
          <cell r="C35"/>
          <cell r="D35"/>
        </row>
        <row r="36">
          <cell r="B36" t="str">
            <v xml:space="preserve">Comentarios: </v>
          </cell>
          <cell r="C36" t="str">
            <v>Difusores y rejillas de extracción de aire en salon sucios. Limpiar.</v>
          </cell>
          <cell r="D36"/>
        </row>
        <row r="37">
          <cell r="B37" t="str">
            <v xml:space="preserve">M_12 </v>
          </cell>
          <cell r="C37" t="str">
            <v>Ducto limita la apertura de puerta acceso a filtros. Se debe sacar puerta de bisagra para acceder.</v>
          </cell>
          <cell r="D37"/>
        </row>
        <row r="38">
          <cell r="B38" t="str">
            <v>M_02</v>
          </cell>
          <cell r="C38" t="str">
            <v>Desadüe apoyado sobre bloque, corregir.</v>
          </cell>
          <cell r="D38"/>
        </row>
        <row r="39">
          <cell r="B39" t="str">
            <v>M_03</v>
          </cell>
          <cell r="C39" t="str">
            <v>Falta filtro de aire. Reponer.</v>
          </cell>
          <cell r="D39"/>
        </row>
        <row r="40">
          <cell r="B40" t="str">
            <v>M_04</v>
          </cell>
          <cell r="C40" t="str">
            <v>Gabinete inundado de agua por desagüe tapado.</v>
          </cell>
          <cell r="D40"/>
        </row>
        <row r="41">
          <cell r="B41" t="str">
            <v>M_09</v>
          </cell>
          <cell r="C41" t="str">
            <v>Retirar elementos apoyados sobre ductos.</v>
          </cell>
          <cell r="D41"/>
        </row>
        <row r="42">
          <cell r="B42" t="str">
            <v>CH_01</v>
          </cell>
          <cell r="C42" t="str">
            <v>Tejido de protección lado calle caído y apoyado sobre el mismo.</v>
          </cell>
          <cell r="D42"/>
        </row>
        <row r="43">
          <cell r="B43" t="str">
            <v>CH_01</v>
          </cell>
          <cell r="C43" t="str">
            <v>Retirar compresor fuera de servicio.</v>
          </cell>
          <cell r="D43"/>
        </row>
        <row r="44">
          <cell r="B44" t="str">
            <v>CH_01/CH_02</v>
          </cell>
          <cell r="C44" t="str">
            <v>Intercambiadores sucios. Limpiar</v>
          </cell>
          <cell r="D44"/>
        </row>
        <row r="45">
          <cell r="B45"/>
          <cell r="C45"/>
          <cell r="D45"/>
        </row>
        <row r="46">
          <cell r="B46"/>
          <cell r="C46"/>
          <cell r="D46"/>
        </row>
        <row r="47">
          <cell r="B47"/>
          <cell r="C47"/>
          <cell r="D47"/>
        </row>
        <row r="48">
          <cell r="B48"/>
          <cell r="C48"/>
          <cell r="D48"/>
        </row>
        <row r="49">
          <cell r="B49"/>
          <cell r="C49"/>
          <cell r="D49"/>
        </row>
        <row r="50">
          <cell r="B50"/>
          <cell r="C50"/>
          <cell r="D50"/>
        </row>
        <row r="51">
          <cell r="B51"/>
          <cell r="C51"/>
          <cell r="D51"/>
        </row>
        <row r="52">
          <cell r="B52"/>
          <cell r="C52"/>
          <cell r="D52"/>
        </row>
        <row r="53">
          <cell r="B53"/>
          <cell r="C53"/>
          <cell r="D53"/>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XWMX7TNX3QVHYCI2E4PZFVXPK">
      <xxl21:absoluteUrl r:id="rId2"/>
    </xxl21:alternateUrls>
    <sheetNames>
      <sheetName val="Informe"/>
    </sheetNames>
    <sheetDataSet>
      <sheetData sheetId="0">
        <row r="4">
          <cell r="B4" t="str">
            <v>SUCURSAL:</v>
          </cell>
          <cell r="C4" t="str">
            <v>DEVOTO 10</v>
          </cell>
        </row>
        <row r="6">
          <cell r="B6" t="str">
            <v>1   AIRE ACONDICIONADO</v>
          </cell>
          <cell r="C6"/>
          <cell r="D6"/>
        </row>
        <row r="8">
          <cell r="B8" t="str">
            <v>CD/CI 
Sucursal</v>
          </cell>
          <cell r="C8">
            <v>0.8571428571428571</v>
          </cell>
        </row>
        <row r="10">
          <cell r="B10" t="str">
            <v>Código</v>
          </cell>
          <cell r="C10"/>
          <cell r="D10" t="str">
            <v>Estado del equipo</v>
          </cell>
        </row>
        <row r="11">
          <cell r="B11" t="str">
            <v>Equipo</v>
          </cell>
          <cell r="C11" t="str">
            <v>Intercambiadores</v>
          </cell>
          <cell r="D11" t="str">
            <v>Gabinete</v>
          </cell>
        </row>
        <row r="12">
          <cell r="B12" t="str">
            <v>DV10_CH_01</v>
          </cell>
          <cell r="C12">
            <v>3</v>
          </cell>
          <cell r="D12">
            <v>3</v>
          </cell>
        </row>
        <row r="13">
          <cell r="B13" t="str">
            <v>DV10_CH_02</v>
          </cell>
          <cell r="C13">
            <v>3</v>
          </cell>
          <cell r="D13">
            <v>3</v>
          </cell>
        </row>
        <row r="14">
          <cell r="B14" t="str">
            <v>DV10_M_01</v>
          </cell>
          <cell r="C14">
            <v>2</v>
          </cell>
          <cell r="D14">
            <v>2</v>
          </cell>
        </row>
        <row r="15">
          <cell r="B15" t="str">
            <v>DV10_M_02</v>
          </cell>
          <cell r="C15">
            <v>2</v>
          </cell>
          <cell r="D15">
            <v>2</v>
          </cell>
        </row>
        <row r="16">
          <cell r="B16" t="str">
            <v>DV10_M_03</v>
          </cell>
          <cell r="C16">
            <v>2</v>
          </cell>
          <cell r="D16">
            <v>2</v>
          </cell>
        </row>
        <row r="17">
          <cell r="B17" t="str">
            <v>DV10_M_04</v>
          </cell>
          <cell r="C17">
            <v>2</v>
          </cell>
          <cell r="D17">
            <v>2</v>
          </cell>
        </row>
        <row r="18">
          <cell r="B18" t="str">
            <v>DV10_M_05</v>
          </cell>
          <cell r="C18">
            <v>2</v>
          </cell>
          <cell r="D18">
            <v>2</v>
          </cell>
        </row>
        <row r="19">
          <cell r="B19" t="str">
            <v>DV10_M_06</v>
          </cell>
          <cell r="C19">
            <v>2</v>
          </cell>
          <cell r="D19">
            <v>2</v>
          </cell>
        </row>
        <row r="20">
          <cell r="B20" t="str">
            <v>DV10_M_07</v>
          </cell>
          <cell r="C20">
            <v>2</v>
          </cell>
          <cell r="D20">
            <v>2</v>
          </cell>
        </row>
        <row r="21">
          <cell r="D21"/>
        </row>
        <row r="22">
          <cell r="B22" t="str">
            <v>Comentarios:</v>
          </cell>
          <cell r="C22" t="str">
            <v>CH_01/CH_02</v>
          </cell>
          <cell r="D22" t="str">
            <v>Falta ventilador. Continúa.</v>
          </cell>
        </row>
        <row r="23">
          <cell r="B23" t="str">
            <v>M_02/03</v>
          </cell>
          <cell r="C23" t="str">
            <v>Retirar material acopiado frente a equipos.</v>
          </cell>
          <cell r="D23"/>
        </row>
        <row r="24">
          <cell r="B24"/>
          <cell r="C24"/>
          <cell r="D24"/>
        </row>
        <row r="25">
          <cell r="B25"/>
        </row>
        <row r="26">
          <cell r="B26"/>
          <cell r="C26"/>
        </row>
        <row r="27">
          <cell r="B27"/>
          <cell r="C27"/>
        </row>
        <row r="28">
          <cell r="B28"/>
        </row>
        <row r="29">
          <cell r="B29"/>
        </row>
        <row r="30">
          <cell r="B30"/>
        </row>
        <row r="31">
          <cell r="B31"/>
        </row>
        <row r="32">
          <cell r="B32"/>
        </row>
        <row r="128">
          <cell r="B128"/>
          <cell r="C128"/>
          <cell r="D128"/>
        </row>
        <row r="177">
          <cell r="B177"/>
          <cell r="C177"/>
          <cell r="D177"/>
        </row>
        <row r="178">
          <cell r="B178"/>
          <cell r="C178"/>
          <cell r="D178"/>
        </row>
        <row r="183">
          <cell r="B183"/>
          <cell r="C183"/>
          <cell r="D183"/>
        </row>
        <row r="184">
          <cell r="B184"/>
          <cell r="C184"/>
          <cell r="D184"/>
        </row>
        <row r="185">
          <cell r="B185"/>
          <cell r="C185"/>
          <cell r="D185"/>
        </row>
        <row r="186">
          <cell r="B186"/>
          <cell r="C186"/>
          <cell r="D186"/>
        </row>
        <row r="187">
          <cell r="B187"/>
          <cell r="C187"/>
          <cell r="D187"/>
        </row>
        <row r="188">
          <cell r="B188"/>
          <cell r="C188"/>
          <cell r="D188"/>
        </row>
        <row r="189">
          <cell r="B189"/>
          <cell r="C189"/>
          <cell r="D189"/>
        </row>
        <row r="190">
          <cell r="B190"/>
          <cell r="C190"/>
          <cell r="D190"/>
        </row>
        <row r="191">
          <cell r="B191"/>
          <cell r="C191"/>
          <cell r="D191"/>
        </row>
        <row r="192">
          <cell r="B192"/>
          <cell r="C192"/>
          <cell r="D192"/>
        </row>
        <row r="193">
          <cell r="B193"/>
          <cell r="C193"/>
          <cell r="D193"/>
        </row>
        <row r="228">
          <cell r="B228" t="str">
            <v>2   GENERADORES</v>
          </cell>
          <cell r="C228"/>
          <cell r="D228"/>
        </row>
        <row r="230">
          <cell r="B230" t="str">
            <v>Código</v>
          </cell>
          <cell r="C230" t="str">
            <v>Estado</v>
          </cell>
          <cell r="D230" t="str">
            <v>Mantenimiento</v>
          </cell>
        </row>
        <row r="231">
          <cell r="B231" t="str">
            <v>Generador</v>
          </cell>
          <cell r="C231" t="str">
            <v>Generador</v>
          </cell>
          <cell r="D231" t="str">
            <v>Proveedor</v>
          </cell>
        </row>
        <row r="232">
          <cell r="B232" t="str">
            <v>DV10_G_01</v>
          </cell>
          <cell r="C232">
            <v>2</v>
          </cell>
          <cell r="D232">
            <v>2</v>
          </cell>
        </row>
        <row r="233">
          <cell r="B233" t="str">
            <v>DV10_G_02</v>
          </cell>
          <cell r="C233">
            <v>2</v>
          </cell>
          <cell r="D233">
            <v>2</v>
          </cell>
        </row>
        <row r="234">
          <cell r="B234"/>
          <cell r="C234"/>
          <cell r="D234"/>
        </row>
        <row r="235">
          <cell r="B235" t="str">
            <v>GENERADOR</v>
          </cell>
          <cell r="C235"/>
          <cell r="D235" t="str">
            <v>Estado G_01</v>
          </cell>
        </row>
        <row r="236">
          <cell r="B236" t="str">
            <v>Tanque de Combustible</v>
          </cell>
          <cell r="C236"/>
          <cell r="D236">
            <v>0.55000000000000004</v>
          </cell>
        </row>
        <row r="237">
          <cell r="B237" t="str">
            <v>Batería</v>
          </cell>
          <cell r="C237"/>
          <cell r="D237" t="str">
            <v>OK</v>
          </cell>
        </row>
        <row r="238">
          <cell r="B238" t="str">
            <v>Líquido refrigerante</v>
          </cell>
          <cell r="C238"/>
          <cell r="D238" t="str">
            <v>OK</v>
          </cell>
        </row>
        <row r="239">
          <cell r="B239" t="str">
            <v>Lubricante</v>
          </cell>
          <cell r="C239"/>
          <cell r="D239" t="str">
            <v>OK</v>
          </cell>
        </row>
        <row r="241">
          <cell r="B241" t="str">
            <v>Comentarios:</v>
          </cell>
          <cell r="C241" t="str">
            <v>G_01</v>
          </cell>
          <cell r="D241" t="str">
            <v>Filtrciones de aceite en bloque de equipo. Controlar.</v>
          </cell>
        </row>
        <row r="242">
          <cell r="B242"/>
          <cell r="C242" t="str">
            <v>G_02</v>
          </cell>
          <cell r="D242" t="str">
            <v>Liquido refrigerante con presencia de oxido.</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LWVI5MJPSAFBZZSIP6FRFANFD">
      <xxl21:absoluteUrl r:id="rId2"/>
    </xxl21:alternateUrls>
    <sheetNames>
      <sheetName val="Informe"/>
      <sheetName val="Hoja1"/>
    </sheetNames>
    <sheetDataSet>
      <sheetData sheetId="0">
        <row r="5">
          <cell r="B5" t="str">
            <v>SUCURSAL:</v>
          </cell>
          <cell r="C5" t="str">
            <v>DEVOTO 11</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DV11_CH_01</v>
          </cell>
          <cell r="C13">
            <v>2</v>
          </cell>
          <cell r="D13">
            <v>3</v>
          </cell>
        </row>
        <row r="14">
          <cell r="B14" t="str">
            <v>DV11_CH_02</v>
          </cell>
          <cell r="C14">
            <v>2</v>
          </cell>
          <cell r="D14">
            <v>3</v>
          </cell>
        </row>
        <row r="15">
          <cell r="B15" t="str">
            <v>DV11_M_01</v>
          </cell>
          <cell r="C15">
            <v>2</v>
          </cell>
          <cell r="D15">
            <v>2</v>
          </cell>
        </row>
        <row r="16">
          <cell r="B16" t="str">
            <v>DV11_M_02</v>
          </cell>
          <cell r="C16">
            <v>2</v>
          </cell>
          <cell r="D16">
            <v>2</v>
          </cell>
        </row>
        <row r="17">
          <cell r="B17" t="str">
            <v>DV11_M_03</v>
          </cell>
          <cell r="C17">
            <v>2</v>
          </cell>
          <cell r="D17">
            <v>2</v>
          </cell>
        </row>
        <row r="18">
          <cell r="B18" t="str">
            <v>DV11_M_04</v>
          </cell>
          <cell r="C18">
            <v>2</v>
          </cell>
          <cell r="D18">
            <v>2</v>
          </cell>
        </row>
        <row r="19">
          <cell r="B19" t="str">
            <v>DV11_M_05</v>
          </cell>
          <cell r="C19">
            <v>2</v>
          </cell>
          <cell r="D19">
            <v>2</v>
          </cell>
        </row>
        <row r="20">
          <cell r="D20"/>
        </row>
        <row r="21">
          <cell r="B21" t="str">
            <v>Comentarios:</v>
          </cell>
          <cell r="C21" t="str">
            <v>Difusiores de aire en salón sucios. Limpiar.</v>
          </cell>
          <cell r="D21"/>
        </row>
        <row r="22">
          <cell r="B22" t="str">
            <v>M_01</v>
          </cell>
          <cell r="C22" t="str">
            <v>Retirar materiales acopiados frente a puerta de acceso a filtros.</v>
          </cell>
          <cell r="D22"/>
        </row>
        <row r="23">
          <cell r="B23" t="str">
            <v>M_02</v>
          </cell>
          <cell r="C23" t="str">
            <v>Intercambiadores sucios. Limpiar.</v>
          </cell>
          <cell r="D23"/>
        </row>
        <row r="24">
          <cell r="B24" t="str">
            <v>M_03</v>
          </cell>
          <cell r="C24" t="str">
            <v>Intercambiadores y filtros de aire sucios. Limpiar.</v>
          </cell>
          <cell r="D24"/>
        </row>
        <row r="26">
          <cell r="B26"/>
          <cell r="C26"/>
        </row>
        <row r="28">
          <cell r="B28"/>
          <cell r="D28"/>
        </row>
        <row r="29">
          <cell r="B29"/>
          <cell r="D29"/>
        </row>
        <row r="30">
          <cell r="B30"/>
          <cell r="D30"/>
        </row>
        <row r="31">
          <cell r="B31"/>
          <cell r="D31"/>
        </row>
        <row r="32">
          <cell r="B32"/>
          <cell r="D32"/>
        </row>
        <row r="33">
          <cell r="B33"/>
          <cell r="D33"/>
        </row>
        <row r="34">
          <cell r="B34"/>
          <cell r="D34"/>
        </row>
        <row r="35">
          <cell r="B35"/>
          <cell r="D35"/>
        </row>
        <row r="36">
          <cell r="B36"/>
          <cell r="D36"/>
        </row>
        <row r="37">
          <cell r="B37"/>
          <cell r="D37"/>
        </row>
        <row r="38">
          <cell r="B38"/>
          <cell r="D38"/>
        </row>
        <row r="39">
          <cell r="B39"/>
          <cell r="D39"/>
        </row>
        <row r="40">
          <cell r="B40"/>
          <cell r="D40"/>
        </row>
        <row r="41">
          <cell r="B41"/>
          <cell r="D41"/>
        </row>
        <row r="42">
          <cell r="B42"/>
          <cell r="D42"/>
        </row>
        <row r="43">
          <cell r="B43"/>
          <cell r="D43"/>
        </row>
        <row r="44">
          <cell r="B44"/>
          <cell r="D44"/>
        </row>
        <row r="45">
          <cell r="B45"/>
          <cell r="D45"/>
        </row>
        <row r="46">
          <cell r="B46"/>
          <cell r="C46"/>
          <cell r="D46"/>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cell r="C104"/>
          <cell r="D104"/>
        </row>
        <row r="105">
          <cell r="B105"/>
          <cell r="C105"/>
          <cell r="D105"/>
        </row>
        <row r="106">
          <cell r="B106"/>
          <cell r="C106"/>
          <cell r="D106"/>
        </row>
        <row r="107">
          <cell r="B107"/>
          <cell r="C107"/>
          <cell r="D107"/>
        </row>
        <row r="108">
          <cell r="B108"/>
          <cell r="C108"/>
          <cell r="D108"/>
        </row>
        <row r="109">
          <cell r="B109"/>
          <cell r="C109"/>
          <cell r="D109"/>
        </row>
        <row r="110">
          <cell r="B110"/>
          <cell r="C110"/>
          <cell r="D110"/>
        </row>
        <row r="111">
          <cell r="B111"/>
          <cell r="C111"/>
          <cell r="D111"/>
        </row>
        <row r="112">
          <cell r="B112"/>
          <cell r="C112"/>
          <cell r="D112"/>
        </row>
        <row r="113">
          <cell r="B113"/>
          <cell r="C113"/>
          <cell r="D113"/>
        </row>
        <row r="114">
          <cell r="B114"/>
          <cell r="C114"/>
          <cell r="D114"/>
        </row>
        <row r="115">
          <cell r="B115"/>
          <cell r="C115"/>
          <cell r="D115"/>
        </row>
        <row r="116">
          <cell r="B116"/>
          <cell r="C116"/>
          <cell r="D116"/>
        </row>
        <row r="117">
          <cell r="B117"/>
          <cell r="C117"/>
          <cell r="D117"/>
        </row>
        <row r="118">
          <cell r="B118"/>
          <cell r="C118"/>
          <cell r="D118"/>
        </row>
        <row r="119">
          <cell r="B119"/>
          <cell r="C119"/>
          <cell r="D119"/>
        </row>
        <row r="120">
          <cell r="B120"/>
          <cell r="C120"/>
          <cell r="D120"/>
        </row>
        <row r="121">
          <cell r="B121"/>
          <cell r="C121"/>
          <cell r="D121"/>
        </row>
        <row r="122">
          <cell r="B122"/>
          <cell r="C122"/>
          <cell r="D122"/>
        </row>
        <row r="123">
          <cell r="B123"/>
          <cell r="C123"/>
          <cell r="D123"/>
        </row>
        <row r="124">
          <cell r="B124"/>
          <cell r="C124"/>
          <cell r="D124"/>
        </row>
        <row r="125">
          <cell r="B125"/>
          <cell r="C125"/>
          <cell r="D125"/>
        </row>
        <row r="126">
          <cell r="B126"/>
          <cell r="C126"/>
          <cell r="D126"/>
        </row>
        <row r="127">
          <cell r="B127"/>
          <cell r="C127"/>
          <cell r="D127"/>
        </row>
        <row r="128">
          <cell r="B128"/>
          <cell r="C128"/>
          <cell r="D128"/>
        </row>
        <row r="129">
          <cell r="B129" t="str">
            <v>2   ELÉCTRICA</v>
          </cell>
          <cell r="C129"/>
          <cell r="D129"/>
        </row>
        <row r="131">
          <cell r="B131" t="str">
            <v>Código</v>
          </cell>
          <cell r="C131" t="str">
            <v>Estado</v>
          </cell>
          <cell r="D131" t="str">
            <v>Mantenimiento</v>
          </cell>
        </row>
        <row r="132">
          <cell r="B132" t="str">
            <v>Generador</v>
          </cell>
          <cell r="C132" t="str">
            <v>Generador</v>
          </cell>
          <cell r="D132" t="str">
            <v>Proveedor</v>
          </cell>
        </row>
        <row r="133">
          <cell r="B133" t="str">
            <v>DV11_G_01</v>
          </cell>
          <cell r="C133">
            <v>2</v>
          </cell>
          <cell r="D133">
            <v>2</v>
          </cell>
        </row>
        <row r="134">
          <cell r="B134" t="str">
            <v>DV11_G_02</v>
          </cell>
          <cell r="C134">
            <v>2</v>
          </cell>
          <cell r="D134">
            <v>2</v>
          </cell>
        </row>
        <row r="135">
          <cell r="B135"/>
          <cell r="C135"/>
          <cell r="D135"/>
        </row>
        <row r="136">
          <cell r="B136" t="str">
            <v>GENERADOR</v>
          </cell>
          <cell r="C136"/>
          <cell r="D136" t="str">
            <v>Estado G_01</v>
          </cell>
        </row>
        <row r="137">
          <cell r="B137" t="str">
            <v>Tanque de Combustible</v>
          </cell>
          <cell r="C137"/>
          <cell r="D137">
            <v>0.5</v>
          </cell>
        </row>
        <row r="138">
          <cell r="B138" t="str">
            <v>Batería</v>
          </cell>
          <cell r="C138"/>
          <cell r="D138" t="str">
            <v>OK</v>
          </cell>
        </row>
        <row r="139">
          <cell r="B139" t="str">
            <v>Liquido Refrigerante</v>
          </cell>
          <cell r="C139"/>
          <cell r="D139" t="str">
            <v>NO OK</v>
          </cell>
        </row>
        <row r="140">
          <cell r="B140" t="str">
            <v>Lubricante</v>
          </cell>
          <cell r="C140"/>
          <cell r="D140" t="str">
            <v>OK</v>
          </cell>
        </row>
        <row r="141">
          <cell r="B141"/>
          <cell r="C141"/>
          <cell r="D141"/>
        </row>
        <row r="142">
          <cell r="B142" t="str">
            <v>Comentarios:</v>
          </cell>
          <cell r="C142" t="str">
            <v>G_02</v>
          </cell>
          <cell r="D142" t="str">
            <v>Bajo nivel de líquido refrigerante. Controlar. Continúa.</v>
          </cell>
        </row>
        <row r="143">
          <cell r="B143"/>
          <cell r="C143" t="str">
            <v>G_02</v>
          </cell>
          <cell r="D143" t="str">
            <v>Lubricante de color oscuro y viscosidad reducida. Controlar. Continúa.</v>
          </cell>
        </row>
        <row r="144">
          <cell r="B144"/>
          <cell r="C144" t="str">
            <v>G_01</v>
          </cell>
          <cell r="D144" t="str">
            <v>Alta presencia de óxido en tanque de líquido refrigerante.</v>
          </cell>
        </row>
        <row r="145">
          <cell r="B145"/>
          <cell r="C145"/>
          <cell r="D145"/>
        </row>
        <row r="146">
          <cell r="B146"/>
          <cell r="C146"/>
          <cell r="D146"/>
        </row>
        <row r="147">
          <cell r="B147"/>
          <cell r="C147"/>
          <cell r="D147"/>
        </row>
        <row r="148">
          <cell r="B148"/>
          <cell r="C148"/>
          <cell r="D148"/>
        </row>
        <row r="149">
          <cell r="B149"/>
          <cell r="C149"/>
          <cell r="D149"/>
        </row>
        <row r="150">
          <cell r="B150"/>
          <cell r="C150"/>
          <cell r="D150"/>
        </row>
        <row r="151">
          <cell r="B151"/>
          <cell r="C151"/>
          <cell r="D151"/>
        </row>
        <row r="152">
          <cell r="B152"/>
          <cell r="C152"/>
          <cell r="D152"/>
        </row>
        <row r="153">
          <cell r="B153"/>
        </row>
        <row r="154">
          <cell r="B154"/>
        </row>
        <row r="155">
          <cell r="B155"/>
        </row>
        <row r="156">
          <cell r="B156"/>
        </row>
        <row r="157">
          <cell r="B157"/>
        </row>
        <row r="158">
          <cell r="B158"/>
        </row>
        <row r="159">
          <cell r="B159"/>
        </row>
        <row r="160">
          <cell r="B160"/>
        </row>
        <row r="161">
          <cell r="B161"/>
        </row>
        <row r="162">
          <cell r="B162"/>
        </row>
        <row r="163">
          <cell r="B163"/>
        </row>
        <row r="164">
          <cell r="B164"/>
        </row>
        <row r="165">
          <cell r="B165"/>
        </row>
        <row r="166">
          <cell r="B166"/>
        </row>
        <row r="167">
          <cell r="B167"/>
        </row>
        <row r="168">
          <cell r="B168"/>
        </row>
        <row r="169">
          <cell r="B169"/>
        </row>
        <row r="170">
          <cell r="B170"/>
        </row>
        <row r="171">
          <cell r="B171"/>
        </row>
        <row r="172">
          <cell r="B172"/>
        </row>
        <row r="173">
          <cell r="B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row>
        <row r="189">
          <cell r="B189"/>
        </row>
        <row r="190">
          <cell r="B190"/>
        </row>
        <row r="191">
          <cell r="B191"/>
        </row>
        <row r="192">
          <cell r="B192"/>
        </row>
        <row r="193">
          <cell r="B193" t="str">
            <v>SUBESTACIÓN</v>
          </cell>
          <cell r="C193"/>
          <cell r="D193" t="str">
            <v>Estado</v>
          </cell>
        </row>
        <row r="194">
          <cell r="B194" t="str">
            <v>Objetos extraños</v>
          </cell>
          <cell r="C194"/>
          <cell r="D194" t="str">
            <v>OK</v>
          </cell>
        </row>
        <row r="195">
          <cell r="B195" t="str">
            <v>Filtraciones de agua</v>
          </cell>
          <cell r="C195"/>
          <cell r="D195" t="str">
            <v>OK</v>
          </cell>
        </row>
        <row r="196">
          <cell r="B196" t="str">
            <v>Tableros eléctricos</v>
          </cell>
          <cell r="C196"/>
          <cell r="D196" t="str">
            <v>OK</v>
          </cell>
        </row>
        <row r="197">
          <cell r="B197" t="str">
            <v>Bancos de 
condensadores</v>
          </cell>
          <cell r="C197"/>
          <cell r="D197" t="str">
            <v>NO OK</v>
          </cell>
        </row>
        <row r="199">
          <cell r="B199" t="str">
            <v>Comentarios:</v>
          </cell>
          <cell r="C199" t="str">
            <v>Reparar calado en llave general de Tablero A ya que no permite abrir la puerta del módulo.</v>
          </cell>
          <cell r="D199"/>
        </row>
        <row r="200">
          <cell r="B200"/>
          <cell r="C200" t="str">
            <v>Interruptor TERASAKI A28 en condensadores, acometida superior derecha a 45°C. Verificar.</v>
          </cell>
          <cell r="D200"/>
        </row>
        <row r="218">
          <cell r="B218"/>
        </row>
        <row r="219">
          <cell r="B219"/>
        </row>
        <row r="220">
          <cell r="B220"/>
        </row>
        <row r="221">
          <cell r="B221"/>
        </row>
        <row r="222">
          <cell r="B222"/>
        </row>
        <row r="223">
          <cell r="B223"/>
        </row>
        <row r="224">
          <cell r="B224"/>
        </row>
        <row r="225">
          <cell r="B225"/>
        </row>
        <row r="226">
          <cell r="B226"/>
        </row>
        <row r="227">
          <cell r="B227"/>
        </row>
        <row r="228">
          <cell r="B228"/>
        </row>
        <row r="229">
          <cell r="B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row>
        <row r="244">
          <cell r="B244"/>
        </row>
        <row r="245">
          <cell r="B245"/>
        </row>
        <row r="246">
          <cell r="B246"/>
        </row>
        <row r="247">
          <cell r="B247"/>
        </row>
        <row r="248">
          <cell r="B248"/>
        </row>
        <row r="249">
          <cell r="B249"/>
        </row>
        <row r="250">
          <cell r="B250"/>
        </row>
        <row r="251">
          <cell r="B251"/>
        </row>
        <row r="252">
          <cell r="B252"/>
        </row>
        <row r="253">
          <cell r="B253"/>
        </row>
        <row r="254">
          <cell r="B254" t="str">
            <v>UPS</v>
          </cell>
          <cell r="C254"/>
          <cell r="D254" t="str">
            <v>Estado</v>
          </cell>
        </row>
        <row r="255">
          <cell r="B255" t="str">
            <v>UPS en línea</v>
          </cell>
          <cell r="C255"/>
          <cell r="D255" t="str">
            <v>OK</v>
          </cell>
        </row>
        <row r="256">
          <cell r="B256" t="str">
            <v>Aire acondicionado</v>
          </cell>
          <cell r="C256"/>
          <cell r="D256" t="str">
            <v>NO OK</v>
          </cell>
        </row>
        <row r="257">
          <cell r="B257" t="str">
            <v>Estado de carga de baterías</v>
          </cell>
          <cell r="C257"/>
          <cell r="D257" t="str">
            <v>OK</v>
          </cell>
        </row>
        <row r="258">
          <cell r="B258"/>
          <cell r="C258"/>
          <cell r="D258"/>
        </row>
        <row r="259">
          <cell r="B259" t="str">
            <v>Comentarios:</v>
          </cell>
          <cell r="C259"/>
          <cell r="D259"/>
        </row>
        <row r="260">
          <cell r="C260"/>
          <cell r="D260"/>
        </row>
        <row r="261">
          <cell r="C261"/>
          <cell r="D261"/>
        </row>
        <row r="262">
          <cell r="C262"/>
          <cell r="D262"/>
        </row>
        <row r="263">
          <cell r="C263"/>
          <cell r="D263"/>
        </row>
        <row r="264">
          <cell r="C264"/>
          <cell r="D264"/>
        </row>
        <row r="265">
          <cell r="C265"/>
          <cell r="D265"/>
        </row>
        <row r="266">
          <cell r="C266"/>
          <cell r="D266"/>
        </row>
        <row r="267">
          <cell r="C267"/>
          <cell r="D267"/>
        </row>
        <row r="268">
          <cell r="C268"/>
          <cell r="D268"/>
        </row>
        <row r="269">
          <cell r="C269"/>
          <cell r="D269"/>
        </row>
        <row r="270">
          <cell r="C270"/>
          <cell r="D270"/>
        </row>
        <row r="271">
          <cell r="B271" t="str">
            <v>3   GAS</v>
          </cell>
          <cell r="C271"/>
          <cell r="D271"/>
        </row>
        <row r="273">
          <cell r="B273" t="str">
            <v>GAS</v>
          </cell>
          <cell r="C273"/>
          <cell r="D273" t="str">
            <v>Estado</v>
          </cell>
        </row>
        <row r="274">
          <cell r="B274" t="str">
            <v>Flexibles autorizados</v>
          </cell>
          <cell r="C274"/>
          <cell r="D274" t="str">
            <v>OK</v>
          </cell>
        </row>
        <row r="275">
          <cell r="B275" t="str">
            <v>Sistema de corte por pánico</v>
          </cell>
          <cell r="C275"/>
          <cell r="D275" t="str">
            <v>OK</v>
          </cell>
        </row>
        <row r="276">
          <cell r="B276"/>
          <cell r="C276"/>
          <cell r="D276"/>
        </row>
        <row r="277">
          <cell r="B277" t="str">
            <v>Comentarios:</v>
          </cell>
          <cell r="C277" t="str">
            <v>Pintar de amarillo tubería de gas en pasillo detrás de tubería de incendio.</v>
          </cell>
          <cell r="D277"/>
        </row>
        <row r="278">
          <cell r="B278"/>
          <cell r="C278" t="str">
            <v>Proteger tubería de gas detrás de estantería en pasillo. Continúa.</v>
          </cell>
          <cell r="D278"/>
        </row>
        <row r="279">
          <cell r="B279"/>
          <cell r="C279" t="str">
            <v>Mejorar acceso a botón de corte por pánico de gas en rotisería.</v>
          </cell>
          <cell r="D279"/>
        </row>
        <row r="280">
          <cell r="B280"/>
          <cell r="C280"/>
          <cell r="D280"/>
        </row>
        <row r="281">
          <cell r="B281"/>
          <cell r="C281"/>
          <cell r="D281"/>
        </row>
        <row r="282">
          <cell r="B282"/>
          <cell r="C282"/>
          <cell r="D282"/>
        </row>
        <row r="283">
          <cell r="B283"/>
          <cell r="C283"/>
          <cell r="D283"/>
        </row>
        <row r="284">
          <cell r="B284"/>
          <cell r="C284"/>
          <cell r="D284"/>
        </row>
        <row r="285">
          <cell r="B285"/>
          <cell r="C285"/>
          <cell r="D285"/>
        </row>
        <row r="286">
          <cell r="B286"/>
          <cell r="C286"/>
          <cell r="D286"/>
        </row>
        <row r="287">
          <cell r="B287"/>
          <cell r="C287"/>
          <cell r="D287"/>
        </row>
        <row r="288">
          <cell r="B288"/>
          <cell r="C288"/>
          <cell r="D288"/>
        </row>
        <row r="289">
          <cell r="B289"/>
          <cell r="C289"/>
          <cell r="D289"/>
        </row>
        <row r="290">
          <cell r="B290"/>
          <cell r="C290"/>
          <cell r="D290"/>
        </row>
        <row r="291">
          <cell r="B291"/>
          <cell r="C291"/>
          <cell r="D291"/>
        </row>
        <row r="292">
          <cell r="B292"/>
          <cell r="C292"/>
          <cell r="D292"/>
        </row>
        <row r="293">
          <cell r="B293"/>
          <cell r="C293"/>
          <cell r="D293"/>
        </row>
        <row r="294">
          <cell r="B294"/>
          <cell r="C294"/>
          <cell r="D294"/>
        </row>
        <row r="295">
          <cell r="B295"/>
          <cell r="C295"/>
          <cell r="D295"/>
        </row>
        <row r="296">
          <cell r="B296"/>
          <cell r="C296"/>
          <cell r="D296"/>
        </row>
        <row r="297">
          <cell r="B297"/>
          <cell r="C297"/>
          <cell r="D297"/>
        </row>
        <row r="298">
          <cell r="B298"/>
          <cell r="C298"/>
          <cell r="D298"/>
        </row>
        <row r="299">
          <cell r="B299"/>
          <cell r="C299"/>
          <cell r="D299"/>
        </row>
        <row r="300">
          <cell r="B300"/>
          <cell r="C300"/>
          <cell r="D300"/>
        </row>
      </sheetData>
      <sheetData sheetId="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5VYMRT3WKBBZDJHN65CYF2XAC6">
      <xxl21:absoluteUrl r:id="rId2"/>
    </xxl21:alternateUrls>
    <sheetNames>
      <sheetName val="Informe"/>
    </sheetNames>
    <sheetDataSet>
      <sheetData sheetId="0">
        <row r="5">
          <cell r="B5" t="str">
            <v>SUCURSAL:</v>
          </cell>
          <cell r="C5" t="str">
            <v>DEVOTO 12</v>
          </cell>
        </row>
        <row r="7">
          <cell r="B7" t="str">
            <v>1   AIRE ACONDICIONADO</v>
          </cell>
          <cell r="C7"/>
          <cell r="D7"/>
        </row>
        <row r="9">
          <cell r="B9" t="str">
            <v>CD/CI_x000D_
Sucursal</v>
          </cell>
          <cell r="C9">
            <v>0.70370370370370372</v>
          </cell>
        </row>
        <row r="11">
          <cell r="B11" t="str">
            <v>Código</v>
          </cell>
          <cell r="C11"/>
          <cell r="D11" t="str">
            <v>Estado del equipo</v>
          </cell>
        </row>
        <row r="12">
          <cell r="B12" t="str">
            <v>Equipo</v>
          </cell>
          <cell r="C12" t="str">
            <v>Intercambiadores</v>
          </cell>
          <cell r="D12" t="str">
            <v>Gabinete</v>
          </cell>
        </row>
        <row r="13">
          <cell r="B13" t="str">
            <v>DV12_R_01</v>
          </cell>
          <cell r="C13">
            <v>2</v>
          </cell>
          <cell r="D13">
            <v>2</v>
          </cell>
        </row>
        <row r="14">
          <cell r="B14" t="str">
            <v>DV12_R_02</v>
          </cell>
          <cell r="C14">
            <v>1</v>
          </cell>
          <cell r="D14">
            <v>1</v>
          </cell>
        </row>
        <row r="15">
          <cell r="B15" t="str">
            <v>DV12_R_03</v>
          </cell>
          <cell r="C15">
            <v>2</v>
          </cell>
          <cell r="D15">
            <v>2</v>
          </cell>
        </row>
        <row r="16">
          <cell r="B16" t="str">
            <v>DV12_R_04</v>
          </cell>
          <cell r="C16">
            <v>2</v>
          </cell>
          <cell r="D16">
            <v>2</v>
          </cell>
        </row>
        <row r="17">
          <cell r="B17" t="str">
            <v>DV12_R_05</v>
          </cell>
          <cell r="C17">
            <v>1</v>
          </cell>
          <cell r="D17">
            <v>1</v>
          </cell>
        </row>
        <row r="18">
          <cell r="B18" t="str">
            <v>DV12_R_06</v>
          </cell>
          <cell r="C18">
            <v>1</v>
          </cell>
          <cell r="D18">
            <v>1</v>
          </cell>
        </row>
        <row r="19">
          <cell r="D19"/>
        </row>
        <row r="20">
          <cell r="B20" t="str">
            <v>Comentarios:</v>
          </cell>
          <cell r="C20" t="str">
            <v>R_05</v>
          </cell>
          <cell r="D20" t="str">
            <v>Nylons agarrados a rejillas de ventiladores. Limpiar.</v>
          </cell>
        </row>
        <row r="21">
          <cell r="B21" t="str">
            <v>R_05</v>
          </cell>
          <cell r="C21" t="str">
            <v>Uno de los ventiladores no funciona.</v>
          </cell>
          <cell r="D21"/>
        </row>
        <row r="22">
          <cell r="B22" t="str">
            <v>R_06</v>
          </cell>
          <cell r="C22" t="str">
            <v>Uno de los ventiladores no funciona.</v>
          </cell>
          <cell r="D22"/>
        </row>
        <row r="23">
          <cell r="B23" t="str">
            <v>R_01</v>
          </cell>
          <cell r="C23" t="str">
            <v>Vegetación creciendo al costado del equipo. Limpiar.</v>
          </cell>
          <cell r="D23"/>
        </row>
        <row r="24">
          <cell r="B24" t="str">
            <v>R_02</v>
          </cell>
          <cell r="C24" t="str">
            <v>Falta tapa en cáma de acometida eléctrica.</v>
          </cell>
          <cell r="D24"/>
        </row>
        <row r="25">
          <cell r="B25" t="str">
            <v>R_02</v>
          </cell>
          <cell r="C25" t="str">
            <v>Equipo no prende.</v>
          </cell>
          <cell r="D25"/>
        </row>
        <row r="26">
          <cell r="B26" t="str">
            <v>R_04</v>
          </cell>
          <cell r="C26" t="str">
            <v>Roturas puntuales en aletado de intercambiador exterior, en su parte superior.</v>
          </cell>
          <cell r="D26"/>
        </row>
        <row r="27">
          <cell r="B27" t="str">
            <v>R_01/R_06</v>
          </cell>
          <cell r="C27" t="str">
            <v>Desagües sin canalizar.</v>
          </cell>
          <cell r="D27"/>
        </row>
        <row r="29">
          <cell r="B29"/>
        </row>
        <row r="43">
          <cell r="B43"/>
        </row>
        <row r="60">
          <cell r="B60"/>
          <cell r="D60"/>
        </row>
        <row r="61">
          <cell r="B61"/>
          <cell r="D61"/>
        </row>
        <row r="62">
          <cell r="B62"/>
          <cell r="D62"/>
        </row>
        <row r="63">
          <cell r="B63"/>
          <cell r="D63"/>
        </row>
        <row r="64">
          <cell r="B64"/>
          <cell r="D64"/>
        </row>
        <row r="65">
          <cell r="B65"/>
          <cell r="D65"/>
        </row>
        <row r="66">
          <cell r="B66"/>
          <cell r="D66"/>
        </row>
        <row r="67">
          <cell r="B67"/>
          <cell r="D67"/>
        </row>
        <row r="68">
          <cell r="B68"/>
          <cell r="D68"/>
        </row>
        <row r="69">
          <cell r="B69"/>
          <cell r="D69"/>
        </row>
        <row r="70">
          <cell r="B70"/>
          <cell r="D70"/>
        </row>
        <row r="71">
          <cell r="B71"/>
          <cell r="D71"/>
        </row>
        <row r="72">
          <cell r="B72"/>
          <cell r="D72"/>
        </row>
        <row r="73">
          <cell r="B73"/>
          <cell r="D73"/>
        </row>
        <row r="74">
          <cell r="B74"/>
          <cell r="D74"/>
        </row>
        <row r="75">
          <cell r="B75"/>
          <cell r="D75"/>
        </row>
        <row r="76">
          <cell r="B76"/>
          <cell r="D76"/>
        </row>
        <row r="77">
          <cell r="B77"/>
          <cell r="D77"/>
        </row>
        <row r="78">
          <cell r="B78"/>
          <cell r="D78"/>
        </row>
        <row r="79">
          <cell r="B79"/>
          <cell r="D79"/>
        </row>
        <row r="80">
          <cell r="B80"/>
          <cell r="D80"/>
        </row>
        <row r="81">
          <cell r="B81"/>
          <cell r="D81"/>
        </row>
        <row r="82">
          <cell r="B82"/>
          <cell r="D82"/>
        </row>
        <row r="83">
          <cell r="B83"/>
          <cell r="D83"/>
        </row>
        <row r="84">
          <cell r="B84"/>
          <cell r="D84"/>
        </row>
        <row r="85">
          <cell r="B85"/>
          <cell r="D85"/>
        </row>
        <row r="86">
          <cell r="B86"/>
          <cell r="D86"/>
        </row>
        <row r="87">
          <cell r="B87"/>
          <cell r="D87"/>
        </row>
        <row r="88">
          <cell r="B88"/>
          <cell r="D88"/>
        </row>
        <row r="89">
          <cell r="B89"/>
          <cell r="D89"/>
        </row>
        <row r="90">
          <cell r="B90"/>
          <cell r="D90"/>
        </row>
        <row r="91">
          <cell r="B91"/>
          <cell r="D91"/>
        </row>
        <row r="92">
          <cell r="B92"/>
          <cell r="C92"/>
          <cell r="D92"/>
        </row>
        <row r="93">
          <cell r="B93"/>
          <cell r="D93"/>
        </row>
        <row r="94">
          <cell r="B94"/>
          <cell r="D94"/>
        </row>
        <row r="95">
          <cell r="B95"/>
          <cell r="D95"/>
        </row>
        <row r="96">
          <cell r="B96"/>
          <cell r="D96"/>
        </row>
        <row r="97">
          <cell r="B97"/>
          <cell r="D97"/>
        </row>
        <row r="98">
          <cell r="B98"/>
          <cell r="D98"/>
        </row>
        <row r="99">
          <cell r="B99"/>
          <cell r="D99"/>
        </row>
        <row r="100">
          <cell r="B100"/>
          <cell r="D100"/>
        </row>
        <row r="101">
          <cell r="B101"/>
          <cell r="D101"/>
        </row>
        <row r="102">
          <cell r="B102"/>
          <cell r="D102"/>
        </row>
        <row r="103">
          <cell r="B103"/>
          <cell r="D103"/>
        </row>
        <row r="104">
          <cell r="B104"/>
          <cell r="D104"/>
        </row>
        <row r="105">
          <cell r="B105"/>
          <cell r="D105"/>
        </row>
        <row r="106">
          <cell r="B106"/>
          <cell r="D106"/>
        </row>
        <row r="107">
          <cell r="B107"/>
          <cell r="D107"/>
        </row>
        <row r="108">
          <cell r="B108"/>
          <cell r="D108"/>
        </row>
        <row r="109">
          <cell r="B109"/>
          <cell r="D109"/>
        </row>
        <row r="110">
          <cell r="B110"/>
          <cell r="D110"/>
        </row>
        <row r="111">
          <cell r="B111"/>
          <cell r="D111"/>
        </row>
        <row r="112">
          <cell r="B112"/>
          <cell r="D112"/>
        </row>
        <row r="113">
          <cell r="B113"/>
          <cell r="D113"/>
        </row>
        <row r="114">
          <cell r="B114"/>
          <cell r="D114"/>
        </row>
        <row r="115">
          <cell r="B115"/>
          <cell r="D115"/>
        </row>
        <row r="116">
          <cell r="B116"/>
          <cell r="D116"/>
        </row>
        <row r="117">
          <cell r="B117"/>
          <cell r="D117"/>
        </row>
        <row r="118">
          <cell r="B118"/>
          <cell r="D118"/>
        </row>
        <row r="119">
          <cell r="B119"/>
          <cell r="D119"/>
        </row>
        <row r="120">
          <cell r="B120"/>
          <cell r="D120"/>
        </row>
        <row r="121">
          <cell r="B121"/>
          <cell r="D121"/>
        </row>
        <row r="122">
          <cell r="B122"/>
          <cell r="D122"/>
        </row>
        <row r="123">
          <cell r="B123"/>
          <cell r="D123"/>
        </row>
        <row r="124">
          <cell r="B124"/>
          <cell r="D124"/>
        </row>
        <row r="125">
          <cell r="B125"/>
          <cell r="D125"/>
        </row>
        <row r="126">
          <cell r="B126"/>
          <cell r="D126"/>
        </row>
        <row r="127">
          <cell r="B127"/>
          <cell r="D127"/>
        </row>
        <row r="128">
          <cell r="B128"/>
          <cell r="D128"/>
        </row>
        <row r="129">
          <cell r="B129"/>
          <cell r="D129"/>
        </row>
        <row r="130">
          <cell r="B130"/>
          <cell r="D130"/>
        </row>
        <row r="131">
          <cell r="B131"/>
          <cell r="D131"/>
        </row>
        <row r="132">
          <cell r="B132"/>
          <cell r="D132"/>
        </row>
        <row r="133">
          <cell r="B133"/>
          <cell r="D133"/>
        </row>
        <row r="134">
          <cell r="B134"/>
          <cell r="D134"/>
        </row>
        <row r="135">
          <cell r="B135"/>
          <cell r="D135"/>
        </row>
        <row r="136">
          <cell r="B136"/>
          <cell r="D136"/>
        </row>
        <row r="137">
          <cell r="B137"/>
          <cell r="D137"/>
        </row>
        <row r="138">
          <cell r="B138"/>
          <cell r="D138"/>
        </row>
        <row r="139">
          <cell r="B139"/>
          <cell r="D139"/>
        </row>
        <row r="140">
          <cell r="B140"/>
          <cell r="D140"/>
        </row>
        <row r="141">
          <cell r="B141"/>
          <cell r="D141"/>
        </row>
        <row r="142">
          <cell r="B142"/>
          <cell r="D142"/>
        </row>
        <row r="143">
          <cell r="B143"/>
          <cell r="D143"/>
        </row>
        <row r="144">
          <cell r="B144"/>
          <cell r="D144"/>
        </row>
        <row r="145">
          <cell r="B145"/>
          <cell r="D145"/>
        </row>
        <row r="146">
          <cell r="B146"/>
          <cell r="D146"/>
        </row>
        <row r="147">
          <cell r="B147"/>
          <cell r="D147"/>
        </row>
        <row r="148">
          <cell r="B148"/>
          <cell r="D148"/>
        </row>
        <row r="149">
          <cell r="B149"/>
          <cell r="D149"/>
        </row>
        <row r="150">
          <cell r="B150"/>
          <cell r="D150"/>
        </row>
        <row r="151">
          <cell r="B151"/>
          <cell r="D151"/>
        </row>
        <row r="152">
          <cell r="B152"/>
          <cell r="D152"/>
        </row>
        <row r="153">
          <cell r="B153"/>
          <cell r="D153"/>
        </row>
        <row r="154">
          <cell r="B154"/>
          <cell r="D154"/>
        </row>
        <row r="155">
          <cell r="B155"/>
          <cell r="D155"/>
        </row>
        <row r="156">
          <cell r="B156"/>
          <cell r="D156"/>
        </row>
        <row r="157">
          <cell r="B157" t="str">
            <v>2   ELÉCTRICA</v>
          </cell>
          <cell r="C157"/>
          <cell r="D157"/>
        </row>
        <row r="159">
          <cell r="B159" t="str">
            <v>Código</v>
          </cell>
          <cell r="C159" t="str">
            <v>Estado</v>
          </cell>
          <cell r="D159" t="str">
            <v>Mantenimiento</v>
          </cell>
        </row>
        <row r="160">
          <cell r="B160" t="str">
            <v>Generador</v>
          </cell>
          <cell r="C160" t="str">
            <v>Generador</v>
          </cell>
          <cell r="D160" t="str">
            <v>Proveedor</v>
          </cell>
        </row>
        <row r="161">
          <cell r="B161" t="str">
            <v>DV12_G_01</v>
          </cell>
          <cell r="C161">
            <v>3</v>
          </cell>
          <cell r="D161">
            <v>3</v>
          </cell>
        </row>
        <row r="162">
          <cell r="B162"/>
          <cell r="C162"/>
          <cell r="D162"/>
        </row>
        <row r="163">
          <cell r="B163" t="str">
            <v>GENERADOR</v>
          </cell>
          <cell r="C163"/>
          <cell r="D163" t="str">
            <v>Estado</v>
          </cell>
        </row>
        <row r="164">
          <cell r="B164" t="str">
            <v>Nivel de Combustible</v>
          </cell>
          <cell r="C164"/>
          <cell r="D164">
            <v>0.6</v>
          </cell>
        </row>
        <row r="165">
          <cell r="B165" t="str">
            <v>Batería</v>
          </cell>
          <cell r="C165"/>
          <cell r="D165" t="str">
            <v>OK</v>
          </cell>
        </row>
        <row r="166">
          <cell r="B166" t="str">
            <v>Liquido Refrigerante</v>
          </cell>
          <cell r="C166"/>
          <cell r="D166" t="str">
            <v>OK</v>
          </cell>
        </row>
        <row r="167">
          <cell r="B167" t="str">
            <v>Aceite</v>
          </cell>
          <cell r="C167"/>
          <cell r="D167" t="str">
            <v>OK</v>
          </cell>
        </row>
        <row r="168">
          <cell r="B168"/>
          <cell r="D168"/>
        </row>
        <row r="169">
          <cell r="B169"/>
          <cell r="D169"/>
        </row>
        <row r="170">
          <cell r="B170"/>
          <cell r="D170"/>
        </row>
        <row r="171">
          <cell r="B171"/>
          <cell r="D171"/>
        </row>
        <row r="172">
          <cell r="B172"/>
          <cell r="D172"/>
        </row>
        <row r="173">
          <cell r="B173"/>
          <cell r="D173"/>
        </row>
        <row r="174">
          <cell r="B174"/>
          <cell r="D174"/>
        </row>
        <row r="175">
          <cell r="B175"/>
          <cell r="D175"/>
        </row>
        <row r="176">
          <cell r="B176"/>
          <cell r="D176"/>
        </row>
        <row r="178">
          <cell r="D178"/>
        </row>
        <row r="199">
          <cell r="B199" t="str">
            <v>SUBESTACIÓN</v>
          </cell>
          <cell r="C199"/>
          <cell r="D199" t="str">
            <v>Estado</v>
          </cell>
        </row>
        <row r="200">
          <cell r="B200" t="str">
            <v>Objetos extraños</v>
          </cell>
          <cell r="C200"/>
          <cell r="D200" t="str">
            <v>OK</v>
          </cell>
        </row>
        <row r="201">
          <cell r="B201" t="str">
            <v>Filtraciones de agua</v>
          </cell>
          <cell r="C201"/>
          <cell r="D201" t="str">
            <v>OK</v>
          </cell>
        </row>
        <row r="202">
          <cell r="B202" t="str">
            <v>Tableros eléctricos</v>
          </cell>
          <cell r="C202"/>
          <cell r="D202" t="str">
            <v>OK</v>
          </cell>
        </row>
        <row r="203">
          <cell r="B203" t="str">
            <v>Bancos de _x000D_condensadores</v>
          </cell>
          <cell r="C203"/>
          <cell r="D203" t="str">
            <v>OK</v>
          </cell>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C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B244" t="str">
            <v>UPS</v>
          </cell>
          <cell r="C244"/>
          <cell r="D244" t="str">
            <v>Estado</v>
          </cell>
        </row>
        <row r="245">
          <cell r="B245" t="str">
            <v>UPS en línea</v>
          </cell>
          <cell r="C245"/>
          <cell r="D245" t="str">
            <v>OK</v>
          </cell>
        </row>
        <row r="246">
          <cell r="B246" t="str">
            <v>Aire acondicionado dedicado</v>
          </cell>
          <cell r="C246"/>
          <cell r="D246" t="str">
            <v>NO OK</v>
          </cell>
        </row>
        <row r="247">
          <cell r="B247" t="str">
            <v>Estado de carga de baterías</v>
          </cell>
          <cell r="C247"/>
          <cell r="D247" t="str">
            <v>OK</v>
          </cell>
        </row>
        <row r="248">
          <cell r="B248"/>
          <cell r="C248"/>
        </row>
        <row r="249">
          <cell r="B249" t="str">
            <v>Comentarios:</v>
          </cell>
          <cell r="C249" t="str">
            <v>Rejillas laterales sucias. Limpiar.</v>
          </cell>
          <cell r="D249"/>
        </row>
        <row r="250">
          <cell r="B250"/>
          <cell r="C250"/>
        </row>
        <row r="251">
          <cell r="B251"/>
          <cell r="C251"/>
        </row>
        <row r="252">
          <cell r="B252"/>
          <cell r="C252"/>
        </row>
        <row r="253">
          <cell r="B253"/>
          <cell r="C253"/>
        </row>
        <row r="254">
          <cell r="B254"/>
          <cell r="D254"/>
        </row>
        <row r="255">
          <cell r="B255"/>
          <cell r="D255"/>
        </row>
        <row r="256">
          <cell r="B256"/>
          <cell r="D256"/>
        </row>
        <row r="257">
          <cell r="B257"/>
          <cell r="D257"/>
        </row>
        <row r="258">
          <cell r="B258"/>
          <cell r="D258"/>
        </row>
        <row r="259">
          <cell r="D259"/>
        </row>
        <row r="260">
          <cell r="B260"/>
          <cell r="D260"/>
        </row>
        <row r="261">
          <cell r="B261" t="str">
            <v>3   GAS</v>
          </cell>
          <cell r="C261"/>
          <cell r="D261"/>
        </row>
        <row r="263">
          <cell r="B263" t="str">
            <v>GAS</v>
          </cell>
          <cell r="C263"/>
          <cell r="D263" t="str">
            <v>Estado</v>
          </cell>
        </row>
        <row r="264">
          <cell r="B264" t="str">
            <v>Flexibles autorizados</v>
          </cell>
          <cell r="C264"/>
          <cell r="D264" t="str">
            <v>OK</v>
          </cell>
        </row>
        <row r="265">
          <cell r="B265" t="str">
            <v>Sistema de corte por pánico</v>
          </cell>
          <cell r="C265"/>
          <cell r="D265" t="str">
            <v>OK</v>
          </cell>
        </row>
        <row r="267">
          <cell r="B267" t="str">
            <v>Comentarios:</v>
          </cell>
          <cell r="C267"/>
          <cell r="D267"/>
        </row>
        <row r="268">
          <cell r="B268"/>
          <cell r="C268"/>
          <cell r="D268"/>
        </row>
        <row r="269">
          <cell r="B269"/>
          <cell r="C269"/>
          <cell r="D269"/>
        </row>
        <row r="270">
          <cell r="B270"/>
          <cell r="C270"/>
          <cell r="D270"/>
        </row>
        <row r="271">
          <cell r="B271"/>
          <cell r="C271"/>
          <cell r="D271"/>
        </row>
        <row r="272">
          <cell r="B272"/>
          <cell r="C272"/>
          <cell r="D272"/>
        </row>
        <row r="273">
          <cell r="B273"/>
          <cell r="C273"/>
          <cell r="D273"/>
        </row>
        <row r="274">
          <cell r="B274"/>
          <cell r="C274"/>
          <cell r="D274"/>
        </row>
        <row r="275">
          <cell r="B275"/>
          <cell r="C275"/>
          <cell r="D275"/>
        </row>
        <row r="276">
          <cell r="B276"/>
          <cell r="C276"/>
          <cell r="D276"/>
        </row>
        <row r="277">
          <cell r="B277"/>
          <cell r="C277"/>
          <cell r="D277"/>
        </row>
        <row r="278">
          <cell r="B278"/>
          <cell r="C278"/>
          <cell r="D278"/>
        </row>
        <row r="279">
          <cell r="B279"/>
          <cell r="C279"/>
          <cell r="D279"/>
        </row>
        <row r="280">
          <cell r="B280"/>
          <cell r="C280"/>
          <cell r="D280"/>
        </row>
        <row r="281">
          <cell r="B281"/>
          <cell r="C281"/>
          <cell r="D281"/>
        </row>
        <row r="282">
          <cell r="B282"/>
          <cell r="C282"/>
          <cell r="D282"/>
        </row>
        <row r="283">
          <cell r="B283"/>
          <cell r="C283"/>
          <cell r="D283"/>
        </row>
        <row r="297">
          <cell r="B297"/>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4IEPBGSSL7ZNHL53HC5WQOUAEI">
      <xxl21:absoluteUrl r:id="rId2"/>
    </xxl21:alternateUrls>
    <sheetNames>
      <sheetName val="Informe"/>
    </sheetNames>
    <sheetDataSet>
      <sheetData sheetId="0">
        <row r="5">
          <cell r="B5" t="str">
            <v>SUCURSAL:</v>
          </cell>
          <cell r="C5" t="str">
            <v>DEVOTO 13</v>
          </cell>
        </row>
        <row r="7">
          <cell r="B7" t="str">
            <v>1   AIRE ACONDICIONADO</v>
          </cell>
          <cell r="C7"/>
          <cell r="D7"/>
        </row>
        <row r="9">
          <cell r="B9" t="str">
            <v>CD/CI_x000D_
Sucursal</v>
          </cell>
          <cell r="C9">
            <v>1</v>
          </cell>
        </row>
        <row r="11">
          <cell r="B11" t="str">
            <v>Código</v>
          </cell>
          <cell r="C11"/>
          <cell r="D11" t="str">
            <v>Estado del equipo</v>
          </cell>
        </row>
        <row r="12">
          <cell r="B12" t="str">
            <v>Equipo</v>
          </cell>
          <cell r="C12" t="str">
            <v>Intercambiadores</v>
          </cell>
          <cell r="D12" t="str">
            <v>Gabinete</v>
          </cell>
        </row>
        <row r="13">
          <cell r="B13" t="str">
            <v>DV13_R_01</v>
          </cell>
          <cell r="C13">
            <v>3</v>
          </cell>
          <cell r="D13">
            <v>3</v>
          </cell>
        </row>
        <row r="14">
          <cell r="B14" t="str">
            <v>DV13_R_02</v>
          </cell>
          <cell r="C14">
            <v>3</v>
          </cell>
          <cell r="D14">
            <v>3</v>
          </cell>
        </row>
        <row r="15">
          <cell r="B15" t="str">
            <v>DV13_R_03</v>
          </cell>
          <cell r="C15">
            <v>3</v>
          </cell>
          <cell r="D15">
            <v>3</v>
          </cell>
        </row>
        <row r="16">
          <cell r="B16" t="str">
            <v>DV13_R_04</v>
          </cell>
          <cell r="C16">
            <v>1</v>
          </cell>
          <cell r="D16">
            <v>1</v>
          </cell>
        </row>
        <row r="17">
          <cell r="B17"/>
          <cell r="C17"/>
          <cell r="D17"/>
        </row>
        <row r="18">
          <cell r="B18" t="str">
            <v>Comentarios:</v>
          </cell>
          <cell r="C18" t="str">
            <v>R_01/04</v>
          </cell>
          <cell r="D18" t="str">
            <v>Canalizar desagües.</v>
          </cell>
        </row>
        <row r="19">
          <cell r="B19" t="str">
            <v>R_02/03</v>
          </cell>
          <cell r="C19" t="str">
            <v>Filtros de aire sucios.</v>
          </cell>
          <cell r="D19"/>
        </row>
        <row r="20">
          <cell r="B20" t="str">
            <v>R_03</v>
          </cell>
          <cell r="C20" t="str">
            <v>Filtro de aire roto.</v>
          </cell>
          <cell r="D20"/>
        </row>
        <row r="21">
          <cell r="B21" t="str">
            <v>R_04</v>
          </cell>
          <cell r="C21" t="str">
            <v>Aletado de intercambiadores muy roto</v>
          </cell>
          <cell r="D21"/>
        </row>
        <row r="22">
          <cell r="B22" t="str">
            <v>R_04</v>
          </cell>
          <cell r="C22" t="str">
            <v>Cambiar estructura de soporte del equipo y realizar plataforma para mantenimiento</v>
          </cell>
          <cell r="D22"/>
        </row>
        <row r="50">
          <cell r="B50"/>
          <cell r="C50"/>
        </row>
        <row r="51">
          <cell r="B51"/>
          <cell r="C51"/>
        </row>
        <row r="52">
          <cell r="B52"/>
          <cell r="C52"/>
        </row>
        <row r="53">
          <cell r="B53"/>
          <cell r="C53"/>
        </row>
        <row r="54">
          <cell r="B54"/>
          <cell r="C54"/>
        </row>
        <row r="55">
          <cell r="B55"/>
          <cell r="C55"/>
        </row>
        <row r="56">
          <cell r="B56"/>
          <cell r="C56"/>
        </row>
        <row r="57">
          <cell r="B57"/>
          <cell r="C57"/>
        </row>
        <row r="58">
          <cell r="B58"/>
          <cell r="C58"/>
        </row>
        <row r="59">
          <cell r="B59"/>
          <cell r="C59"/>
        </row>
        <row r="60">
          <cell r="B60"/>
          <cell r="C60"/>
        </row>
        <row r="61">
          <cell r="B61"/>
          <cell r="C61"/>
        </row>
        <row r="62">
          <cell r="B62"/>
          <cell r="C62"/>
        </row>
        <row r="63">
          <cell r="B63"/>
          <cell r="C63"/>
        </row>
        <row r="64">
          <cell r="B64"/>
          <cell r="C64"/>
        </row>
        <row r="65">
          <cell r="B65"/>
          <cell r="C65"/>
        </row>
        <row r="66">
          <cell r="B66"/>
          <cell r="C66"/>
        </row>
        <row r="67">
          <cell r="B67"/>
          <cell r="C67"/>
        </row>
        <row r="68">
          <cell r="B68"/>
          <cell r="C68"/>
        </row>
        <row r="69">
          <cell r="B69" t="str">
            <v>2   ELÉCTRICA</v>
          </cell>
          <cell r="C69"/>
          <cell r="D69"/>
        </row>
        <row r="71">
          <cell r="B71" t="str">
            <v>Código</v>
          </cell>
          <cell r="C71" t="str">
            <v>Estado</v>
          </cell>
          <cell r="D71" t="str">
            <v>Mantenimiento</v>
          </cell>
        </row>
        <row r="72">
          <cell r="B72" t="str">
            <v>Generador</v>
          </cell>
          <cell r="C72" t="str">
            <v>Generador</v>
          </cell>
          <cell r="D72" t="str">
            <v>Proveedor</v>
          </cell>
        </row>
        <row r="73">
          <cell r="B73" t="str">
            <v>DV13_G_01</v>
          </cell>
          <cell r="C73">
            <v>1</v>
          </cell>
          <cell r="D73">
            <v>2</v>
          </cell>
        </row>
        <row r="75">
          <cell r="B75" t="str">
            <v>GENERADOR</v>
          </cell>
          <cell r="C75"/>
          <cell r="D75" t="str">
            <v>Estado</v>
          </cell>
        </row>
        <row r="76">
          <cell r="B76" t="str">
            <v>Tanque de Combustible</v>
          </cell>
          <cell r="C76"/>
          <cell r="D76">
            <v>0.45</v>
          </cell>
        </row>
        <row r="77">
          <cell r="B77" t="str">
            <v>Batería</v>
          </cell>
          <cell r="C77"/>
          <cell r="D77" t="str">
            <v>OK</v>
          </cell>
        </row>
        <row r="78">
          <cell r="B78" t="str">
            <v xml:space="preserve">Liquido refrigerante </v>
          </cell>
          <cell r="C78"/>
          <cell r="D78" t="str">
            <v>OK</v>
          </cell>
        </row>
        <row r="79">
          <cell r="B79" t="str">
            <v>Aceite</v>
          </cell>
          <cell r="C79"/>
          <cell r="D79" t="str">
            <v>OK</v>
          </cell>
        </row>
        <row r="81">
          <cell r="B81" t="str">
            <v>Comentarios:</v>
          </cell>
          <cell r="C81" t="str">
            <v>Controlar pérdidas de líquido lubricante.</v>
          </cell>
          <cell r="D81"/>
        </row>
        <row r="82">
          <cell r="B82" t="str">
            <v>Gabinete cobertor de grupo generador en avanzado estado de oxidación. Cambiar.</v>
          </cell>
          <cell r="C82"/>
          <cell r="D82"/>
        </row>
        <row r="88">
          <cell r="B88"/>
          <cell r="C88"/>
        </row>
        <row r="89">
          <cell r="B89"/>
          <cell r="C89"/>
        </row>
        <row r="90">
          <cell r="B90"/>
          <cell r="C90"/>
        </row>
        <row r="91">
          <cell r="B91"/>
          <cell r="C91"/>
        </row>
        <row r="92">
          <cell r="B92"/>
          <cell r="C92"/>
        </row>
        <row r="93">
          <cell r="B93"/>
          <cell r="C93"/>
        </row>
        <row r="94">
          <cell r="B94"/>
          <cell r="C94"/>
        </row>
        <row r="95">
          <cell r="B95"/>
          <cell r="C95"/>
        </row>
        <row r="96">
          <cell r="B96"/>
          <cell r="C96"/>
        </row>
        <row r="97">
          <cell r="B97"/>
          <cell r="C97"/>
        </row>
        <row r="98">
          <cell r="B98"/>
          <cell r="C98"/>
        </row>
        <row r="99">
          <cell r="B99"/>
          <cell r="C99"/>
        </row>
        <row r="100">
          <cell r="B100"/>
          <cell r="C100"/>
        </row>
        <row r="101">
          <cell r="B101"/>
          <cell r="C101"/>
        </row>
        <row r="102">
          <cell r="B102"/>
          <cell r="C102"/>
        </row>
        <row r="103">
          <cell r="B103"/>
          <cell r="C103"/>
        </row>
        <row r="104">
          <cell r="B104"/>
          <cell r="C104"/>
        </row>
        <row r="105">
          <cell r="B105"/>
          <cell r="C105"/>
        </row>
        <row r="106">
          <cell r="B106"/>
          <cell r="C106"/>
        </row>
        <row r="107">
          <cell r="B107"/>
          <cell r="C107"/>
        </row>
        <row r="108">
          <cell r="B108"/>
          <cell r="C108"/>
        </row>
        <row r="109">
          <cell r="B109"/>
          <cell r="C109"/>
        </row>
        <row r="110">
          <cell r="B110"/>
          <cell r="C110"/>
        </row>
        <row r="111">
          <cell r="B111"/>
          <cell r="C111"/>
        </row>
        <row r="112">
          <cell r="B112"/>
          <cell r="C112"/>
        </row>
        <row r="113">
          <cell r="B113"/>
          <cell r="C113"/>
        </row>
        <row r="114">
          <cell r="B114"/>
          <cell r="C114"/>
        </row>
        <row r="115">
          <cell r="B115"/>
          <cell r="C115"/>
        </row>
        <row r="116">
          <cell r="B116"/>
          <cell r="C116"/>
        </row>
        <row r="117">
          <cell r="B117"/>
          <cell r="C117"/>
        </row>
        <row r="118">
          <cell r="B118"/>
          <cell r="C118"/>
        </row>
        <row r="119">
          <cell r="B119"/>
          <cell r="C119"/>
        </row>
        <row r="120">
          <cell r="B120"/>
          <cell r="C120"/>
        </row>
        <row r="121">
          <cell r="B121"/>
          <cell r="C121"/>
        </row>
        <row r="122">
          <cell r="B122"/>
          <cell r="C122"/>
        </row>
        <row r="123">
          <cell r="B123"/>
          <cell r="C123"/>
        </row>
        <row r="124">
          <cell r="B124"/>
          <cell r="C124"/>
        </row>
        <row r="125">
          <cell r="B125"/>
          <cell r="C125"/>
        </row>
        <row r="126">
          <cell r="B126"/>
          <cell r="C126"/>
        </row>
        <row r="127">
          <cell r="B127"/>
          <cell r="C127"/>
        </row>
        <row r="128">
          <cell r="B128" t="str">
            <v>SUBESTACIÓN</v>
          </cell>
          <cell r="C128"/>
          <cell r="D128" t="str">
            <v>Estado</v>
          </cell>
        </row>
        <row r="129">
          <cell r="B129" t="str">
            <v>Objetos extraños</v>
          </cell>
          <cell r="C129"/>
          <cell r="D129" t="str">
            <v>OK</v>
          </cell>
        </row>
        <row r="130">
          <cell r="B130" t="str">
            <v>Filtraciones de agua</v>
          </cell>
          <cell r="C130"/>
          <cell r="D130" t="str">
            <v>OK</v>
          </cell>
        </row>
        <row r="131">
          <cell r="B131" t="str">
            <v>Tableros eléctricos</v>
          </cell>
          <cell r="C131"/>
          <cell r="D131" t="str">
            <v>OK</v>
          </cell>
        </row>
        <row r="132">
          <cell r="B132" t="str">
            <v>Bancos de _x000D_condensadores</v>
          </cell>
          <cell r="C132"/>
          <cell r="D132" t="str">
            <v>OK</v>
          </cell>
        </row>
        <row r="133">
          <cell r="D133"/>
        </row>
        <row r="134">
          <cell r="B134" t="str">
            <v>Comentarios:</v>
          </cell>
          <cell r="C134" t="str">
            <v>Retirar materiales varios acopiados en pasillo de circulación en sala de tableros.</v>
          </cell>
          <cell r="D134"/>
        </row>
        <row r="135">
          <cell r="B135" t="str">
            <v>Fase C en tablero doble vía del grupo electrógeno a 54°C. Controlar.</v>
          </cell>
          <cell r="C135"/>
          <cell r="D135"/>
        </row>
        <row r="136">
          <cell r="B136" t="str">
            <v>Acometida superior izquierda de interruptor general CHINT a 51°C. Verificar.</v>
          </cell>
          <cell r="C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B184" t="str">
            <v>UPS</v>
          </cell>
          <cell r="C184"/>
          <cell r="D184" t="str">
            <v>Estado</v>
          </cell>
        </row>
        <row r="185">
          <cell r="B185" t="str">
            <v>UPS en línea</v>
          </cell>
          <cell r="C185"/>
          <cell r="D185" t="str">
            <v>OK</v>
          </cell>
        </row>
        <row r="186">
          <cell r="B186" t="str">
            <v>Aire acondicionado dedicado</v>
          </cell>
          <cell r="C186"/>
          <cell r="D186" t="str">
            <v>OK</v>
          </cell>
        </row>
        <row r="187">
          <cell r="B187" t="str">
            <v>Estado de carga de baterías</v>
          </cell>
          <cell r="C187"/>
          <cell r="D187" t="str">
            <v>OK</v>
          </cell>
        </row>
        <row r="188">
          <cell r="C188"/>
          <cell r="D188"/>
        </row>
        <row r="189">
          <cell r="B189"/>
          <cell r="D189"/>
        </row>
        <row r="190">
          <cell r="B190"/>
          <cell r="D190"/>
        </row>
        <row r="191">
          <cell r="B191"/>
          <cell r="D191"/>
        </row>
        <row r="192">
          <cell r="B192"/>
          <cell r="D192"/>
        </row>
        <row r="193">
          <cell r="B193"/>
          <cell r="D193"/>
        </row>
        <row r="194">
          <cell r="B194"/>
          <cell r="D194"/>
        </row>
        <row r="195">
          <cell r="B195"/>
          <cell r="D195"/>
        </row>
        <row r="196">
          <cell r="B196"/>
          <cell r="D196"/>
        </row>
        <row r="197">
          <cell r="B197"/>
          <cell r="D197"/>
        </row>
        <row r="198">
          <cell r="B198"/>
          <cell r="D198"/>
        </row>
        <row r="199">
          <cell r="B199"/>
          <cell r="D199"/>
        </row>
        <row r="200">
          <cell r="B200" t="str">
            <v>3   GAS</v>
          </cell>
          <cell r="C200"/>
          <cell r="D200"/>
        </row>
        <row r="202">
          <cell r="B202" t="str">
            <v>GAS</v>
          </cell>
          <cell r="C202"/>
          <cell r="D202" t="str">
            <v>Estado</v>
          </cell>
        </row>
        <row r="203">
          <cell r="B203" t="str">
            <v>Flexibles autorizados</v>
          </cell>
          <cell r="C203"/>
          <cell r="D203" t="str">
            <v>OK</v>
          </cell>
        </row>
        <row r="204">
          <cell r="B204" t="str">
            <v>Sistema de corte por pánico</v>
          </cell>
          <cell r="C204"/>
          <cell r="D204" t="str">
            <v>OK</v>
          </cell>
        </row>
        <row r="205">
          <cell r="C205"/>
          <cell r="D205"/>
        </row>
        <row r="206">
          <cell r="B206" t="str">
            <v>Comentarios:</v>
          </cell>
          <cell r="C206" t="str">
            <v>Nicho de bombonas de gas colapsado</v>
          </cell>
          <cell r="D206"/>
        </row>
        <row r="207">
          <cell r="B207"/>
          <cell r="C207" t="str">
            <v>Botón de corte por pánico de gas roto. Reparar.</v>
          </cell>
          <cell r="D207"/>
        </row>
        <row r="208">
          <cell r="B208"/>
        </row>
        <row r="209">
          <cell r="B209"/>
        </row>
        <row r="210">
          <cell r="B210"/>
        </row>
        <row r="211">
          <cell r="B211"/>
        </row>
        <row r="212">
          <cell r="B212"/>
        </row>
        <row r="213">
          <cell r="B213"/>
        </row>
        <row r="214">
          <cell r="B214"/>
        </row>
        <row r="215">
          <cell r="B215"/>
        </row>
        <row r="216">
          <cell r="B216"/>
        </row>
        <row r="217">
          <cell r="B217"/>
        </row>
        <row r="218">
          <cell r="B218"/>
        </row>
        <row r="219">
          <cell r="B219"/>
        </row>
        <row r="220">
          <cell r="B220"/>
        </row>
        <row r="221">
          <cell r="B221"/>
        </row>
        <row r="256">
          <cell r="B256" t="str">
            <v>4   OBSERVACIONES GENERALES</v>
          </cell>
          <cell r="C256"/>
          <cell r="D256"/>
        </row>
        <row r="258">
          <cell r="B258" t="str">
            <v>Comentarios:</v>
          </cell>
          <cell r="C258" t="str">
            <v>Se recomienda realizar lavado profundo de los equipos previo a taparlos en la post-temporada.</v>
          </cell>
          <cell r="D258"/>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SCYYUM6NVX5B3CEPT24D2UCXB">
      <xxl21:absoluteUrl r:id="rId2"/>
    </xxl21:alternateUrls>
    <sheetNames>
      <sheetName val="Informe"/>
      <sheetName val="Hoja1"/>
    </sheetNames>
    <sheetDataSet>
      <sheetData sheetId="0">
        <row r="2">
          <cell r="B2"/>
          <cell r="C2"/>
          <cell r="D2"/>
        </row>
        <row r="5">
          <cell r="B5" t="str">
            <v>SUCURSAL:</v>
          </cell>
          <cell r="C5" t="str">
            <v>DEVOTO 14</v>
          </cell>
        </row>
        <row r="6">
          <cell r="B6"/>
        </row>
        <row r="7">
          <cell r="B7" t="str">
            <v>1   AIRE ACONDICIONADO</v>
          </cell>
          <cell r="C7"/>
          <cell r="D7"/>
        </row>
        <row r="9">
          <cell r="B9" t="str">
            <v>CD/CI
Sucursal</v>
          </cell>
          <cell r="C9">
            <v>0.77272727272727271</v>
          </cell>
        </row>
        <row r="11">
          <cell r="B11" t="str">
            <v>Código</v>
          </cell>
          <cell r="C11"/>
          <cell r="D11" t="str">
            <v>Estado del equipo</v>
          </cell>
        </row>
        <row r="12">
          <cell r="B12" t="str">
            <v>Equipo</v>
          </cell>
          <cell r="C12" t="str">
            <v>Intercambiadores</v>
          </cell>
          <cell r="D12" t="str">
            <v>Gabinete</v>
          </cell>
        </row>
        <row r="13">
          <cell r="B13" t="str">
            <v>DV14_CH_01</v>
          </cell>
          <cell r="C13">
            <v>3</v>
          </cell>
          <cell r="D13">
            <v>3</v>
          </cell>
        </row>
        <row r="14">
          <cell r="B14" t="str">
            <v>DV14_CH_02</v>
          </cell>
          <cell r="C14">
            <v>3</v>
          </cell>
          <cell r="D14">
            <v>3</v>
          </cell>
        </row>
        <row r="15">
          <cell r="B15" t="str">
            <v>DV14_M_01</v>
          </cell>
          <cell r="C15">
            <v>2</v>
          </cell>
          <cell r="D15">
            <v>2</v>
          </cell>
        </row>
        <row r="16">
          <cell r="B16" t="str">
            <v>DV14_M_02A</v>
          </cell>
          <cell r="C16">
            <v>2</v>
          </cell>
          <cell r="D16">
            <v>2</v>
          </cell>
        </row>
        <row r="17">
          <cell r="B17" t="str">
            <v>DV14_M_02B</v>
          </cell>
          <cell r="C17">
            <v>2</v>
          </cell>
          <cell r="D17">
            <v>2</v>
          </cell>
        </row>
        <row r="18">
          <cell r="B18" t="str">
            <v>DV14_M_03</v>
          </cell>
          <cell r="C18">
            <v>2</v>
          </cell>
          <cell r="D18">
            <v>2</v>
          </cell>
        </row>
        <row r="19">
          <cell r="B19" t="str">
            <v>DV14_M_04</v>
          </cell>
          <cell r="C19">
            <v>2</v>
          </cell>
          <cell r="D19">
            <v>2</v>
          </cell>
        </row>
        <row r="20">
          <cell r="B20" t="str">
            <v>PE_S_01</v>
          </cell>
          <cell r="C20">
            <v>3</v>
          </cell>
          <cell r="D20">
            <v>3</v>
          </cell>
        </row>
        <row r="21">
          <cell r="B21" t="str">
            <v>PE_S_02</v>
          </cell>
          <cell r="C21">
            <v>3</v>
          </cell>
          <cell r="D21">
            <v>3</v>
          </cell>
        </row>
        <row r="22">
          <cell r="B22" t="str">
            <v>PE_S_03</v>
          </cell>
          <cell r="C22">
            <v>3</v>
          </cell>
          <cell r="D22">
            <v>3</v>
          </cell>
        </row>
        <row r="23">
          <cell r="B23" t="str">
            <v>PE_S_04</v>
          </cell>
          <cell r="C23">
            <v>3</v>
          </cell>
          <cell r="D23">
            <v>3</v>
          </cell>
        </row>
        <row r="24">
          <cell r="B24" t="str">
            <v>PE_S_05</v>
          </cell>
          <cell r="C24">
            <v>3</v>
          </cell>
          <cell r="D24">
            <v>3</v>
          </cell>
        </row>
        <row r="25">
          <cell r="B25" t="str">
            <v>PE_S_06</v>
          </cell>
          <cell r="C25">
            <v>3</v>
          </cell>
          <cell r="D25">
            <v>3</v>
          </cell>
        </row>
        <row r="26">
          <cell r="B26" t="str">
            <v>PE_S_07</v>
          </cell>
          <cell r="C26">
            <v>3</v>
          </cell>
          <cell r="D26">
            <v>3</v>
          </cell>
        </row>
        <row r="27">
          <cell r="B27"/>
          <cell r="C27"/>
          <cell r="D27"/>
        </row>
        <row r="28">
          <cell r="B28" t="str">
            <v>Comentarios:</v>
          </cell>
          <cell r="C28" t="str">
            <v>Rejillas de extracción de aire en Sandwichería sucias. Limpiar.</v>
          </cell>
          <cell r="D28"/>
        </row>
        <row r="29">
          <cell r="C29"/>
          <cell r="D29"/>
        </row>
        <row r="30">
          <cell r="B30"/>
          <cell r="C30"/>
          <cell r="D30"/>
        </row>
        <row r="31">
          <cell r="C31"/>
          <cell r="D31"/>
        </row>
        <row r="32">
          <cell r="B32"/>
          <cell r="C32"/>
          <cell r="D32"/>
        </row>
        <row r="33">
          <cell r="B33"/>
          <cell r="C33"/>
          <cell r="D33"/>
        </row>
        <row r="34">
          <cell r="B34"/>
          <cell r="C34"/>
          <cell r="D34"/>
        </row>
        <row r="35">
          <cell r="B35"/>
          <cell r="C35"/>
          <cell r="D35"/>
        </row>
        <row r="36">
          <cell r="B36"/>
          <cell r="C36"/>
          <cell r="D36"/>
        </row>
        <row r="37">
          <cell r="B37"/>
          <cell r="C37"/>
          <cell r="D37"/>
        </row>
        <row r="38">
          <cell r="B38"/>
          <cell r="C38"/>
          <cell r="D38"/>
        </row>
        <row r="39">
          <cell r="B39"/>
          <cell r="C39"/>
          <cell r="D39"/>
        </row>
        <row r="40">
          <cell r="B40"/>
          <cell r="C40"/>
          <cell r="D40"/>
        </row>
        <row r="41">
          <cell r="B41"/>
          <cell r="C41"/>
          <cell r="D41"/>
        </row>
        <row r="42">
          <cell r="B42"/>
          <cell r="C42"/>
          <cell r="D42"/>
        </row>
        <row r="43">
          <cell r="B43"/>
          <cell r="C43"/>
          <cell r="D43"/>
        </row>
        <row r="44">
          <cell r="B44"/>
          <cell r="C44"/>
          <cell r="D44"/>
        </row>
        <row r="45">
          <cell r="B45"/>
          <cell r="C45"/>
          <cell r="D45"/>
        </row>
        <row r="46">
          <cell r="B46"/>
          <cell r="C46"/>
          <cell r="D46"/>
        </row>
        <row r="47">
          <cell r="B47"/>
          <cell r="C47"/>
          <cell r="D47"/>
        </row>
        <row r="48">
          <cell r="B48"/>
          <cell r="C48"/>
          <cell r="D48"/>
        </row>
        <row r="49">
          <cell r="B49"/>
          <cell r="C49"/>
          <cell r="D49"/>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cell r="C104"/>
          <cell r="D104"/>
        </row>
        <row r="105">
          <cell r="B105"/>
          <cell r="C105"/>
          <cell r="D105"/>
        </row>
        <row r="106">
          <cell r="B106"/>
          <cell r="C106"/>
          <cell r="D106"/>
        </row>
        <row r="107">
          <cell r="B107"/>
          <cell r="C107"/>
          <cell r="D107"/>
        </row>
        <row r="108">
          <cell r="B108"/>
          <cell r="C108"/>
          <cell r="D108"/>
        </row>
        <row r="109">
          <cell r="B109"/>
          <cell r="C109"/>
          <cell r="D109"/>
        </row>
        <row r="110">
          <cell r="B110"/>
          <cell r="C110"/>
          <cell r="D110"/>
        </row>
        <row r="111">
          <cell r="B111"/>
          <cell r="C111"/>
          <cell r="D111"/>
        </row>
        <row r="112">
          <cell r="B112"/>
          <cell r="C112"/>
          <cell r="D112"/>
        </row>
        <row r="113">
          <cell r="B113"/>
          <cell r="C113"/>
          <cell r="D113"/>
        </row>
        <row r="114">
          <cell r="B114"/>
          <cell r="C114"/>
          <cell r="D114"/>
        </row>
        <row r="115">
          <cell r="B115"/>
          <cell r="C115"/>
          <cell r="D115"/>
        </row>
        <row r="116">
          <cell r="B116"/>
          <cell r="C116"/>
          <cell r="D116"/>
        </row>
        <row r="117">
          <cell r="B117"/>
          <cell r="C117"/>
          <cell r="D117"/>
        </row>
        <row r="118">
          <cell r="B118"/>
          <cell r="C118"/>
          <cell r="D118"/>
        </row>
        <row r="119">
          <cell r="B119"/>
          <cell r="C119"/>
          <cell r="D119"/>
        </row>
        <row r="120">
          <cell r="B120"/>
          <cell r="C120"/>
          <cell r="D120"/>
        </row>
        <row r="121">
          <cell r="B121"/>
          <cell r="C121"/>
          <cell r="D121"/>
        </row>
        <row r="122">
          <cell r="B122"/>
          <cell r="C122"/>
          <cell r="D122"/>
        </row>
        <row r="123">
          <cell r="B123"/>
          <cell r="C123"/>
          <cell r="D123"/>
        </row>
        <row r="124">
          <cell r="B124"/>
          <cell r="C124"/>
          <cell r="D124"/>
        </row>
        <row r="125">
          <cell r="B125"/>
          <cell r="C125"/>
          <cell r="D125"/>
        </row>
        <row r="126">
          <cell r="B126"/>
          <cell r="C126"/>
          <cell r="D126"/>
        </row>
        <row r="127">
          <cell r="B127"/>
          <cell r="C127"/>
          <cell r="D127"/>
        </row>
        <row r="128">
          <cell r="B128"/>
          <cell r="C128"/>
          <cell r="D128"/>
        </row>
        <row r="129">
          <cell r="B129"/>
          <cell r="C129"/>
          <cell r="D129"/>
        </row>
        <row r="130">
          <cell r="B130"/>
          <cell r="C130"/>
          <cell r="D130"/>
        </row>
        <row r="131">
          <cell r="B131"/>
          <cell r="C131"/>
          <cell r="D131"/>
        </row>
        <row r="132">
          <cell r="B132"/>
          <cell r="C132"/>
          <cell r="D132"/>
        </row>
        <row r="133">
          <cell r="B133"/>
          <cell r="C133"/>
          <cell r="D133"/>
        </row>
        <row r="134">
          <cell r="B134"/>
          <cell r="C134"/>
          <cell r="D134"/>
        </row>
        <row r="135">
          <cell r="B135"/>
          <cell r="C135"/>
          <cell r="D135"/>
        </row>
        <row r="136">
          <cell r="B136"/>
          <cell r="C136"/>
          <cell r="D136"/>
        </row>
        <row r="137">
          <cell r="B137"/>
          <cell r="C137"/>
          <cell r="D137"/>
        </row>
        <row r="138">
          <cell r="B138"/>
          <cell r="C138"/>
          <cell r="D138"/>
        </row>
        <row r="139">
          <cell r="B139"/>
          <cell r="C139"/>
          <cell r="D139"/>
        </row>
        <row r="140">
          <cell r="B140"/>
          <cell r="C140"/>
          <cell r="D140"/>
        </row>
        <row r="141">
          <cell r="B141"/>
          <cell r="C141"/>
          <cell r="D141"/>
        </row>
        <row r="142">
          <cell r="B142"/>
          <cell r="C142"/>
          <cell r="D142"/>
        </row>
        <row r="143">
          <cell r="B143"/>
          <cell r="C143"/>
          <cell r="D143"/>
        </row>
        <row r="144">
          <cell r="B144"/>
          <cell r="C144"/>
          <cell r="D144"/>
        </row>
        <row r="145">
          <cell r="B145"/>
          <cell r="C145"/>
          <cell r="D145"/>
        </row>
        <row r="146">
          <cell r="B146"/>
          <cell r="C146"/>
          <cell r="D146"/>
        </row>
        <row r="147">
          <cell r="B147"/>
          <cell r="C147"/>
          <cell r="D147"/>
        </row>
        <row r="148">
          <cell r="B148"/>
          <cell r="C148"/>
          <cell r="D148"/>
        </row>
        <row r="149">
          <cell r="B149"/>
          <cell r="C149"/>
          <cell r="D149"/>
        </row>
        <row r="150">
          <cell r="B150"/>
          <cell r="C150"/>
          <cell r="D150"/>
        </row>
        <row r="151">
          <cell r="B151"/>
          <cell r="C151"/>
          <cell r="D151"/>
        </row>
        <row r="152">
          <cell r="B152"/>
          <cell r="C152"/>
          <cell r="D152"/>
        </row>
        <row r="153">
          <cell r="B153"/>
          <cell r="C153"/>
          <cell r="D153"/>
        </row>
        <row r="154">
          <cell r="B154"/>
          <cell r="C154"/>
          <cell r="D154"/>
        </row>
        <row r="155">
          <cell r="B155"/>
          <cell r="C155"/>
          <cell r="D155"/>
        </row>
        <row r="156">
          <cell r="B156"/>
          <cell r="C156"/>
          <cell r="D156"/>
        </row>
        <row r="157">
          <cell r="B157"/>
          <cell r="C157"/>
          <cell r="D157"/>
        </row>
        <row r="158">
          <cell r="B158"/>
          <cell r="C158"/>
          <cell r="D158"/>
        </row>
        <row r="159">
          <cell r="B159"/>
          <cell r="C159"/>
          <cell r="D159"/>
        </row>
        <row r="160">
          <cell r="B160"/>
          <cell r="C160"/>
          <cell r="D160"/>
        </row>
        <row r="161">
          <cell r="B161"/>
          <cell r="C161"/>
          <cell r="D161"/>
        </row>
        <row r="162">
          <cell r="B162"/>
          <cell r="C162"/>
          <cell r="D162"/>
        </row>
        <row r="163">
          <cell r="B163"/>
          <cell r="C163"/>
          <cell r="D163"/>
        </row>
        <row r="164">
          <cell r="B164"/>
          <cell r="C164"/>
          <cell r="D164"/>
        </row>
        <row r="165">
          <cell r="B165"/>
          <cell r="C165"/>
          <cell r="D165"/>
        </row>
        <row r="166">
          <cell r="B166"/>
          <cell r="C166"/>
          <cell r="D166"/>
        </row>
        <row r="167">
          <cell r="B167"/>
          <cell r="C167"/>
          <cell r="D167"/>
        </row>
        <row r="168">
          <cell r="B168"/>
          <cell r="C168"/>
          <cell r="D168"/>
        </row>
        <row r="169">
          <cell r="B169"/>
          <cell r="C169"/>
          <cell r="D169"/>
        </row>
        <row r="170">
          <cell r="B170"/>
          <cell r="C170"/>
          <cell r="D170"/>
        </row>
        <row r="171">
          <cell r="B171"/>
          <cell r="C171"/>
          <cell r="D171"/>
        </row>
        <row r="172">
          <cell r="B172"/>
          <cell r="C172"/>
          <cell r="D172"/>
        </row>
        <row r="173">
          <cell r="B173"/>
          <cell r="C173"/>
          <cell r="D173"/>
        </row>
        <row r="174">
          <cell r="B174"/>
          <cell r="C174"/>
          <cell r="D174"/>
        </row>
        <row r="175">
          <cell r="B175"/>
          <cell r="C175"/>
          <cell r="D175"/>
        </row>
        <row r="176">
          <cell r="B176"/>
          <cell r="C176"/>
          <cell r="D176"/>
        </row>
        <row r="177">
          <cell r="B177"/>
          <cell r="C177"/>
          <cell r="D177"/>
        </row>
        <row r="178">
          <cell r="B178"/>
          <cell r="C178"/>
          <cell r="D178"/>
        </row>
        <row r="179">
          <cell r="B179"/>
          <cell r="C179"/>
          <cell r="D179"/>
        </row>
        <row r="180">
          <cell r="B180"/>
          <cell r="C180"/>
          <cell r="D180"/>
        </row>
        <row r="181">
          <cell r="B181"/>
          <cell r="C181"/>
          <cell r="D181"/>
        </row>
        <row r="182">
          <cell r="B182"/>
          <cell r="C182"/>
          <cell r="D182"/>
        </row>
        <row r="183">
          <cell r="B183"/>
          <cell r="C183"/>
          <cell r="D183"/>
        </row>
        <row r="184">
          <cell r="B184"/>
          <cell r="C184"/>
          <cell r="D184"/>
        </row>
        <row r="185">
          <cell r="B185"/>
          <cell r="C185"/>
          <cell r="D185"/>
        </row>
        <row r="186">
          <cell r="B186"/>
          <cell r="C186"/>
          <cell r="D186"/>
        </row>
        <row r="187">
          <cell r="B187"/>
          <cell r="C187"/>
          <cell r="D187"/>
        </row>
        <row r="188">
          <cell r="B188"/>
          <cell r="C188"/>
          <cell r="D188"/>
        </row>
        <row r="189">
          <cell r="B189"/>
          <cell r="C189"/>
          <cell r="D189"/>
        </row>
        <row r="190">
          <cell r="B190"/>
          <cell r="C190"/>
          <cell r="D190"/>
        </row>
        <row r="191">
          <cell r="B191"/>
          <cell r="C191"/>
          <cell r="D191"/>
        </row>
        <row r="192">
          <cell r="B192"/>
          <cell r="C192"/>
          <cell r="D192"/>
        </row>
        <row r="193">
          <cell r="B193"/>
          <cell r="C193"/>
          <cell r="D193"/>
        </row>
        <row r="194">
          <cell r="B194"/>
          <cell r="C194"/>
          <cell r="D194"/>
        </row>
        <row r="195">
          <cell r="B195"/>
          <cell r="C195"/>
          <cell r="D195"/>
        </row>
        <row r="196">
          <cell r="B196"/>
          <cell r="C196"/>
          <cell r="D196"/>
        </row>
        <row r="197">
          <cell r="B197"/>
          <cell r="C197"/>
          <cell r="D197"/>
        </row>
        <row r="198">
          <cell r="B198"/>
          <cell r="C198"/>
          <cell r="D198"/>
        </row>
        <row r="199">
          <cell r="B199"/>
          <cell r="C199"/>
          <cell r="D199"/>
        </row>
        <row r="200">
          <cell r="B200"/>
          <cell r="C200"/>
          <cell r="D200"/>
        </row>
        <row r="201">
          <cell r="B201"/>
          <cell r="C201"/>
          <cell r="D201"/>
        </row>
        <row r="202">
          <cell r="B202"/>
          <cell r="C202"/>
          <cell r="D202"/>
        </row>
        <row r="203">
          <cell r="B203"/>
          <cell r="C203"/>
          <cell r="D203"/>
        </row>
        <row r="204">
          <cell r="B204"/>
          <cell r="C204"/>
          <cell r="D204"/>
        </row>
        <row r="205">
          <cell r="B205"/>
          <cell r="C205"/>
          <cell r="D205"/>
        </row>
        <row r="206">
          <cell r="B206"/>
          <cell r="C206"/>
          <cell r="D206"/>
        </row>
        <row r="207">
          <cell r="B207"/>
          <cell r="C207"/>
          <cell r="D207"/>
        </row>
        <row r="208">
          <cell r="B208"/>
          <cell r="C208"/>
          <cell r="D208"/>
        </row>
        <row r="209">
          <cell r="B209"/>
          <cell r="C209"/>
          <cell r="D209"/>
        </row>
        <row r="210">
          <cell r="B210"/>
          <cell r="C210"/>
          <cell r="D210"/>
        </row>
        <row r="211">
          <cell r="B211"/>
          <cell r="C211"/>
          <cell r="D211"/>
        </row>
        <row r="212">
          <cell r="B212"/>
          <cell r="C212"/>
          <cell r="D212"/>
        </row>
        <row r="213">
          <cell r="B213"/>
          <cell r="C213"/>
          <cell r="D213"/>
        </row>
        <row r="214">
          <cell r="B214"/>
          <cell r="C214"/>
          <cell r="D214"/>
        </row>
        <row r="215">
          <cell r="B215"/>
          <cell r="C215"/>
          <cell r="D215"/>
        </row>
        <row r="216">
          <cell r="B216" t="str">
            <v>2   ELÉCTRICA</v>
          </cell>
          <cell r="C216"/>
          <cell r="D216"/>
        </row>
        <row r="218">
          <cell r="B218" t="str">
            <v>Código</v>
          </cell>
          <cell r="C218" t="str">
            <v>Estado</v>
          </cell>
          <cell r="D218" t="str">
            <v>Mantenimiento</v>
          </cell>
        </row>
        <row r="219">
          <cell r="B219" t="str">
            <v>Generador</v>
          </cell>
          <cell r="C219" t="str">
            <v>Generador</v>
          </cell>
          <cell r="D219" t="str">
            <v>Proveedor</v>
          </cell>
        </row>
        <row r="220">
          <cell r="B220" t="str">
            <v>DV14_G_01</v>
          </cell>
          <cell r="C220">
            <v>2</v>
          </cell>
          <cell r="D220">
            <v>3</v>
          </cell>
        </row>
        <row r="221">
          <cell r="B221" t="str">
            <v>DV14_G_02</v>
          </cell>
          <cell r="C221">
            <v>2</v>
          </cell>
          <cell r="D221">
            <v>3</v>
          </cell>
        </row>
        <row r="222">
          <cell r="B222"/>
          <cell r="C222"/>
          <cell r="D222"/>
        </row>
        <row r="223">
          <cell r="B223" t="str">
            <v>GENERADOR</v>
          </cell>
          <cell r="C223"/>
          <cell r="D223" t="str">
            <v>Estado G_01</v>
          </cell>
        </row>
        <row r="224">
          <cell r="B224" t="str">
            <v>Tanque de Combustible</v>
          </cell>
          <cell r="C224"/>
          <cell r="D224">
            <v>0.7</v>
          </cell>
        </row>
        <row r="225">
          <cell r="B225" t="str">
            <v>Batería</v>
          </cell>
          <cell r="C225"/>
          <cell r="D225" t="str">
            <v>OK</v>
          </cell>
        </row>
        <row r="226">
          <cell r="B226" t="str">
            <v>Líq. Refrigerante</v>
          </cell>
          <cell r="C226"/>
          <cell r="D226" t="str">
            <v>OK</v>
          </cell>
        </row>
        <row r="227">
          <cell r="B227" t="str">
            <v>Lubricante</v>
          </cell>
          <cell r="C227"/>
          <cell r="D227" t="str">
            <v>OK</v>
          </cell>
        </row>
        <row r="228">
          <cell r="B228"/>
          <cell r="C228"/>
          <cell r="D228"/>
        </row>
        <row r="229">
          <cell r="B229"/>
          <cell r="C229"/>
          <cell r="D229"/>
        </row>
        <row r="230">
          <cell r="B230"/>
          <cell r="C230"/>
          <cell r="D230"/>
        </row>
        <row r="231">
          <cell r="B231"/>
          <cell r="C231"/>
          <cell r="D231"/>
        </row>
        <row r="232">
          <cell r="B232"/>
          <cell r="C232"/>
          <cell r="D232"/>
        </row>
        <row r="233">
          <cell r="B233"/>
          <cell r="C233"/>
          <cell r="D233"/>
        </row>
        <row r="234">
          <cell r="B234"/>
          <cell r="C234"/>
          <cell r="D234"/>
        </row>
        <row r="235">
          <cell r="B235"/>
          <cell r="C235"/>
          <cell r="D235"/>
        </row>
        <row r="236">
          <cell r="B236"/>
          <cell r="C236"/>
          <cell r="D236"/>
        </row>
        <row r="237">
          <cell r="B237"/>
          <cell r="C237"/>
          <cell r="D237"/>
        </row>
        <row r="238">
          <cell r="B238"/>
          <cell r="C238"/>
          <cell r="D238"/>
        </row>
        <row r="239">
          <cell r="B239"/>
          <cell r="C239"/>
          <cell r="D239"/>
        </row>
        <row r="240">
          <cell r="B240"/>
          <cell r="C240"/>
          <cell r="D240"/>
        </row>
        <row r="241">
          <cell r="B241"/>
          <cell r="C241"/>
          <cell r="D241"/>
        </row>
        <row r="242">
          <cell r="B242"/>
          <cell r="C242"/>
          <cell r="D242"/>
        </row>
        <row r="243">
          <cell r="B243"/>
          <cell r="C243"/>
          <cell r="D243"/>
        </row>
        <row r="244">
          <cell r="B244"/>
          <cell r="C244"/>
          <cell r="D244"/>
        </row>
        <row r="245">
          <cell r="B245"/>
          <cell r="C245"/>
          <cell r="D245"/>
        </row>
        <row r="246">
          <cell r="B246"/>
          <cell r="C246"/>
          <cell r="D246"/>
        </row>
        <row r="247">
          <cell r="B247"/>
          <cell r="C247"/>
          <cell r="D247"/>
        </row>
        <row r="248">
          <cell r="B248"/>
          <cell r="C248"/>
          <cell r="D248"/>
        </row>
        <row r="249">
          <cell r="B249"/>
          <cell r="C249"/>
          <cell r="D249"/>
        </row>
        <row r="250">
          <cell r="B250"/>
          <cell r="C250"/>
          <cell r="D250"/>
        </row>
        <row r="251">
          <cell r="B251"/>
          <cell r="C251"/>
          <cell r="D251"/>
        </row>
        <row r="252">
          <cell r="B252"/>
          <cell r="C252"/>
          <cell r="D252"/>
        </row>
        <row r="253">
          <cell r="B253"/>
          <cell r="C253"/>
          <cell r="D253"/>
        </row>
        <row r="254">
          <cell r="B254"/>
          <cell r="C254"/>
          <cell r="D254"/>
        </row>
        <row r="255">
          <cell r="B255"/>
          <cell r="C255"/>
          <cell r="D255"/>
        </row>
        <row r="256">
          <cell r="B256"/>
          <cell r="C256"/>
          <cell r="D256"/>
        </row>
        <row r="257">
          <cell r="B257"/>
          <cell r="C257"/>
          <cell r="D257"/>
        </row>
        <row r="258">
          <cell r="B258"/>
          <cell r="C258"/>
          <cell r="D258"/>
        </row>
        <row r="259">
          <cell r="B259"/>
          <cell r="C259"/>
          <cell r="D259"/>
        </row>
        <row r="260">
          <cell r="B260"/>
          <cell r="C260"/>
          <cell r="D260"/>
        </row>
        <row r="261">
          <cell r="B261"/>
          <cell r="C261"/>
          <cell r="D261"/>
        </row>
        <row r="262">
          <cell r="B262"/>
          <cell r="C262"/>
          <cell r="D262"/>
        </row>
        <row r="263">
          <cell r="B263"/>
          <cell r="C263"/>
          <cell r="D263"/>
        </row>
        <row r="264">
          <cell r="B264"/>
          <cell r="C264"/>
          <cell r="D264"/>
        </row>
        <row r="265">
          <cell r="B265"/>
          <cell r="C265"/>
          <cell r="D265"/>
        </row>
        <row r="266">
          <cell r="B266"/>
          <cell r="C266"/>
          <cell r="D266"/>
        </row>
        <row r="267">
          <cell r="B267"/>
          <cell r="C267"/>
          <cell r="D267"/>
        </row>
        <row r="268">
          <cell r="B268"/>
          <cell r="C268"/>
          <cell r="D268"/>
        </row>
        <row r="269">
          <cell r="B269"/>
          <cell r="C269"/>
          <cell r="D269"/>
        </row>
        <row r="270">
          <cell r="B270"/>
          <cell r="C270"/>
          <cell r="D270"/>
        </row>
        <row r="271">
          <cell r="B271"/>
          <cell r="C271"/>
          <cell r="D271"/>
        </row>
        <row r="272">
          <cell r="B272"/>
          <cell r="C272"/>
          <cell r="D272"/>
        </row>
        <row r="273">
          <cell r="B273"/>
          <cell r="C273"/>
          <cell r="D273"/>
        </row>
        <row r="274">
          <cell r="B274"/>
          <cell r="C274"/>
          <cell r="D274"/>
        </row>
        <row r="275">
          <cell r="B275"/>
          <cell r="C275"/>
          <cell r="D275"/>
        </row>
        <row r="276">
          <cell r="B276"/>
          <cell r="C276"/>
          <cell r="D276"/>
        </row>
        <row r="277">
          <cell r="B277"/>
          <cell r="C277"/>
          <cell r="D277"/>
        </row>
        <row r="278">
          <cell r="B278"/>
          <cell r="C278"/>
          <cell r="D278"/>
        </row>
        <row r="279">
          <cell r="B279"/>
          <cell r="C279"/>
          <cell r="D279"/>
        </row>
        <row r="280">
          <cell r="B280"/>
          <cell r="C280"/>
          <cell r="D280"/>
        </row>
        <row r="281">
          <cell r="B281"/>
          <cell r="C281"/>
          <cell r="D281"/>
        </row>
        <row r="282">
          <cell r="B282"/>
          <cell r="C282"/>
          <cell r="D282"/>
        </row>
        <row r="283">
          <cell r="B283"/>
          <cell r="C283"/>
          <cell r="D283"/>
        </row>
        <row r="284">
          <cell r="B284"/>
          <cell r="C284"/>
          <cell r="D284"/>
        </row>
        <row r="285">
          <cell r="B285"/>
          <cell r="C285"/>
          <cell r="D285"/>
        </row>
        <row r="286">
          <cell r="B286"/>
          <cell r="C286"/>
          <cell r="D286"/>
        </row>
        <row r="287">
          <cell r="B287"/>
          <cell r="C287"/>
          <cell r="D287"/>
        </row>
        <row r="288">
          <cell r="B288" t="str">
            <v>SUBESTACIÓN</v>
          </cell>
          <cell r="C288"/>
          <cell r="D288" t="str">
            <v>Estado</v>
          </cell>
        </row>
        <row r="289">
          <cell r="B289" t="str">
            <v>Objetos extraños</v>
          </cell>
          <cell r="C289"/>
          <cell r="D289" t="str">
            <v>OK</v>
          </cell>
        </row>
        <row r="290">
          <cell r="B290" t="str">
            <v>Filtraciones de agua</v>
          </cell>
          <cell r="C290"/>
          <cell r="D290" t="str">
            <v>OK</v>
          </cell>
        </row>
        <row r="291">
          <cell r="B291" t="str">
            <v>Tableros eléctricos</v>
          </cell>
          <cell r="C291"/>
          <cell r="D291" t="str">
            <v>OK</v>
          </cell>
        </row>
        <row r="292">
          <cell r="B292" t="str">
            <v>Bancos de 
condensadores</v>
          </cell>
          <cell r="C292"/>
          <cell r="D292" t="str">
            <v>NO OK</v>
          </cell>
        </row>
        <row r="293">
          <cell r="B293"/>
          <cell r="C293"/>
          <cell r="D293"/>
        </row>
        <row r="294">
          <cell r="B294" t="str">
            <v>Comentarios:</v>
          </cell>
          <cell r="C294" t="str">
            <v>Display factor de potencia alarmado con "OUT OF BANK"</v>
          </cell>
          <cell r="D294"/>
        </row>
        <row r="295">
          <cell r="B295"/>
          <cell r="C295" t="str">
            <v>Llave tablero pozo frío MERLIN GERIN "F", acometida superior izquierda a 42°C. Verificar.</v>
          </cell>
          <cell r="D295"/>
        </row>
      </sheetData>
      <sheetData sheetId="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ZXQPUSUBP45GIZOENFHYTDDQG">
      <xxl21:absoluteUrl r:id="rId2"/>
    </xxl21:alternateUrls>
    <sheetNames>
      <sheetName val="Informe"/>
      <sheetName val="CHILLERS-MANEJADORAS"/>
      <sheetName val="MINISPLITS"/>
    </sheetNames>
    <sheetDataSet>
      <sheetData sheetId="0">
        <row r="5">
          <cell r="B5" t="str">
            <v>SUCURSAL:</v>
          </cell>
          <cell r="C5" t="str">
            <v>DEVOTO 15</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DV15_CH_01</v>
          </cell>
          <cell r="C13">
            <v>2</v>
          </cell>
          <cell r="D13">
            <v>3</v>
          </cell>
        </row>
        <row r="14">
          <cell r="B14" t="str">
            <v>DV15_M_01</v>
          </cell>
          <cell r="C14">
            <v>3</v>
          </cell>
          <cell r="D14">
            <v>3</v>
          </cell>
        </row>
        <row r="15">
          <cell r="B15" t="str">
            <v>DV15_M_02</v>
          </cell>
          <cell r="C15">
            <v>3</v>
          </cell>
          <cell r="D15">
            <v>3</v>
          </cell>
        </row>
        <row r="16">
          <cell r="B16" t="str">
            <v>DV15_M_03</v>
          </cell>
          <cell r="C16">
            <v>3</v>
          </cell>
          <cell r="D16">
            <v>3</v>
          </cell>
        </row>
        <row r="17">
          <cell r="B17" t="str">
            <v>DV15_S_01</v>
          </cell>
          <cell r="C17">
            <v>2</v>
          </cell>
          <cell r="D17">
            <v>3</v>
          </cell>
        </row>
        <row r="18">
          <cell r="B18" t="str">
            <v>DV15_S_02</v>
          </cell>
          <cell r="C18">
            <v>2</v>
          </cell>
          <cell r="D18">
            <v>3</v>
          </cell>
        </row>
        <row r="19">
          <cell r="D19"/>
        </row>
        <row r="20">
          <cell r="B20" t="str">
            <v>Comentarios:</v>
          </cell>
          <cell r="C20" t="str">
            <v>Colocar tapa en tramo de bandeja Daisa y realizar plataforma de pasaje a zona de equipos de aire.</v>
          </cell>
          <cell r="D20"/>
        </row>
        <row r="21">
          <cell r="B21" t="str">
            <v xml:space="preserve">CH_01     </v>
          </cell>
          <cell r="C21" t="str">
            <v>Intercambiador sucio. Lavar.</v>
          </cell>
          <cell r="D21"/>
        </row>
        <row r="22">
          <cell r="B22" t="str">
            <v>M_01</v>
          </cell>
          <cell r="C22" t="str">
            <v>Canalizar desagüe.</v>
          </cell>
          <cell r="D22"/>
        </row>
        <row r="23">
          <cell r="B23" t="str">
            <v>M_02</v>
          </cell>
          <cell r="C23" t="str">
            <v>Regularizar conexión de desagüe.</v>
          </cell>
          <cell r="D23"/>
        </row>
        <row r="24">
          <cell r="B24" t="str">
            <v>S_01</v>
          </cell>
          <cell r="C24" t="str">
            <v>Rejillas interiores sucias.</v>
          </cell>
          <cell r="D24"/>
        </row>
        <row r="25">
          <cell r="B25" t="str">
            <v>S_01/S_02</v>
          </cell>
          <cell r="C25" t="str">
            <v>Inercambiadores exteriores sucios. Limpiar. Continua.</v>
          </cell>
          <cell r="D25"/>
        </row>
        <row r="26">
          <cell r="B26"/>
          <cell r="C26"/>
          <cell r="D26"/>
        </row>
        <row r="27">
          <cell r="B27"/>
        </row>
        <row r="28">
          <cell r="B28"/>
        </row>
        <row r="29">
          <cell r="B29"/>
        </row>
        <row r="30">
          <cell r="B30"/>
        </row>
        <row r="31">
          <cell r="B31"/>
        </row>
        <row r="88">
          <cell r="B88" t="str">
            <v>2   ELÉCTRICA</v>
          </cell>
          <cell r="C88"/>
          <cell r="D88"/>
        </row>
        <row r="90">
          <cell r="B90" t="str">
            <v>Código</v>
          </cell>
          <cell r="C90" t="str">
            <v>Estado</v>
          </cell>
          <cell r="D90" t="str">
            <v>Mantenimiento</v>
          </cell>
        </row>
        <row r="91">
          <cell r="B91" t="str">
            <v>Generador</v>
          </cell>
          <cell r="C91" t="str">
            <v>Generador</v>
          </cell>
          <cell r="D91" t="str">
            <v>Proveedor</v>
          </cell>
        </row>
        <row r="92">
          <cell r="B92" t="str">
            <v>DV15_G_01</v>
          </cell>
          <cell r="C92">
            <v>3</v>
          </cell>
          <cell r="D92">
            <v>3</v>
          </cell>
        </row>
        <row r="93">
          <cell r="B93"/>
          <cell r="C93"/>
        </row>
        <row r="94">
          <cell r="B94" t="str">
            <v>GENERADOR</v>
          </cell>
          <cell r="C94"/>
          <cell r="D94" t="str">
            <v>Estado</v>
          </cell>
        </row>
        <row r="95">
          <cell r="B95" t="str">
            <v>Tanque de Combustible</v>
          </cell>
          <cell r="C95"/>
          <cell r="D95">
            <v>0.9</v>
          </cell>
        </row>
        <row r="96">
          <cell r="B96" t="str">
            <v>Batería</v>
          </cell>
          <cell r="C96"/>
          <cell r="D96" t="str">
            <v>OK</v>
          </cell>
        </row>
        <row r="97">
          <cell r="B97" t="str">
            <v xml:space="preserve">Liquido Refrigerante </v>
          </cell>
          <cell r="C97"/>
          <cell r="D97" t="str">
            <v>OK</v>
          </cell>
        </row>
        <row r="98">
          <cell r="B98" t="str">
            <v>Lubricante</v>
          </cell>
          <cell r="C98"/>
          <cell r="D98" t="str">
            <v>OK</v>
          </cell>
        </row>
        <row r="100">
          <cell r="B100" t="str">
            <v>Comentarios:</v>
          </cell>
          <cell r="C100" t="str">
            <v>Presencia de líquido en bandeja recolectora de combustible. Controlar.</v>
          </cell>
          <cell r="D100"/>
        </row>
        <row r="114">
          <cell r="B114"/>
        </row>
        <row r="115">
          <cell r="B115"/>
        </row>
        <row r="116">
          <cell r="B116"/>
        </row>
        <row r="117">
          <cell r="B117"/>
        </row>
        <row r="118">
          <cell r="B118"/>
        </row>
        <row r="119">
          <cell r="B119"/>
        </row>
        <row r="120">
          <cell r="B120"/>
        </row>
        <row r="121">
          <cell r="B121"/>
        </row>
        <row r="122">
          <cell r="B122"/>
        </row>
        <row r="123">
          <cell r="B123"/>
        </row>
        <row r="124">
          <cell r="B124"/>
        </row>
        <row r="125">
          <cell r="B125"/>
        </row>
        <row r="126">
          <cell r="B126"/>
        </row>
        <row r="127">
          <cell r="B127"/>
        </row>
        <row r="128">
          <cell r="B128"/>
        </row>
        <row r="129">
          <cell r="B129"/>
        </row>
        <row r="130">
          <cell r="B130"/>
        </row>
        <row r="131">
          <cell r="B131"/>
        </row>
        <row r="132">
          <cell r="B132"/>
        </row>
        <row r="133">
          <cell r="B133"/>
        </row>
        <row r="134">
          <cell r="B134"/>
        </row>
        <row r="135">
          <cell r="B135"/>
        </row>
        <row r="136">
          <cell r="B136"/>
        </row>
        <row r="137">
          <cell r="B137"/>
        </row>
        <row r="138">
          <cell r="B138" t="str">
            <v>SUBESTACIÓN</v>
          </cell>
          <cell r="C138"/>
          <cell r="D138" t="str">
            <v>Estado</v>
          </cell>
        </row>
        <row r="139">
          <cell r="B139" t="str">
            <v>Objetos extraños</v>
          </cell>
          <cell r="C139"/>
          <cell r="D139" t="str">
            <v>OK</v>
          </cell>
        </row>
        <row r="140">
          <cell r="B140" t="str">
            <v>Filtraciones de agua</v>
          </cell>
          <cell r="C140"/>
          <cell r="D140" t="str">
            <v>OK</v>
          </cell>
        </row>
        <row r="141">
          <cell r="B141" t="str">
            <v>Tableros eléctricos</v>
          </cell>
          <cell r="C141"/>
          <cell r="D141" t="str">
            <v>OK</v>
          </cell>
        </row>
        <row r="142">
          <cell r="B142" t="str">
            <v>Bancos de 
condensadores</v>
          </cell>
          <cell r="C142"/>
          <cell r="D142" t="str">
            <v>OK</v>
          </cell>
        </row>
        <row r="143">
          <cell r="D143"/>
        </row>
        <row r="144">
          <cell r="B144" t="str">
            <v>Comentarios:</v>
          </cell>
          <cell r="C144" t="str">
            <v>Materiales varios acopiados frente a puerta de tablero factor de potencia. Retirar.</v>
          </cell>
          <cell r="D144"/>
        </row>
        <row r="145">
          <cell r="B145"/>
          <cell r="C145" t="str">
            <v>Interruptor ABB tablero factor de potencia acometida superior a 61°C. Verificar.</v>
          </cell>
          <cell r="D145"/>
        </row>
        <row r="146">
          <cell r="B146" t="str">
            <v>Interruptor ABB segundo módulo desde la derecha, acometida superior a 55°C. Verificar.</v>
          </cell>
          <cell r="C146"/>
          <cell r="D146"/>
        </row>
        <row r="147">
          <cell r="B147" t="str">
            <v>Módulo interruptor general sin cierre de gabinete. Reparar.</v>
          </cell>
          <cell r="C147"/>
          <cell r="D147"/>
        </row>
        <row r="148">
          <cell r="D148"/>
        </row>
        <row r="149">
          <cell r="B149"/>
          <cell r="C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B199" t="str">
            <v>UPS</v>
          </cell>
          <cell r="C199"/>
          <cell r="D199" t="str">
            <v>Estado</v>
          </cell>
        </row>
        <row r="200">
          <cell r="B200" t="str">
            <v>UPS en línea</v>
          </cell>
          <cell r="C200"/>
          <cell r="D200" t="str">
            <v>OK</v>
          </cell>
        </row>
        <row r="201">
          <cell r="B201" t="str">
            <v>Aire acondicionado dedicado</v>
          </cell>
          <cell r="C201"/>
          <cell r="D201" t="str">
            <v>NO OK</v>
          </cell>
        </row>
        <row r="202">
          <cell r="B202" t="str">
            <v>Estado de carga de baterías</v>
          </cell>
          <cell r="C202"/>
          <cell r="D202" t="str">
            <v>OK</v>
          </cell>
        </row>
        <row r="203">
          <cell r="C203"/>
          <cell r="D203"/>
        </row>
        <row r="204">
          <cell r="B204" t="str">
            <v>Comentarios:</v>
          </cell>
          <cell r="C204" t="str">
            <v>No hay aire acondicionado dedicado a acondicionamiento térmico.</v>
          </cell>
          <cell r="D204"/>
        </row>
        <row r="205">
          <cell r="B205" t="str">
            <v>UPS_2</v>
          </cell>
          <cell r="C205" t="str">
            <v>Limpiar rejillas laterales.</v>
          </cell>
          <cell r="D205"/>
        </row>
        <row r="229">
          <cell r="B229" t="str">
            <v>3   GAS</v>
          </cell>
          <cell r="C229"/>
          <cell r="D229"/>
        </row>
        <row r="231">
          <cell r="B231" t="str">
            <v>GAS</v>
          </cell>
          <cell r="C231"/>
          <cell r="D231" t="str">
            <v>Estado</v>
          </cell>
        </row>
        <row r="232">
          <cell r="B232" t="str">
            <v>Flexibles autorizados</v>
          </cell>
          <cell r="C232"/>
          <cell r="D232" t="str">
            <v>OK</v>
          </cell>
        </row>
        <row r="233">
          <cell r="B233" t="str">
            <v>Sistema de corte por pánico</v>
          </cell>
          <cell r="C233"/>
          <cell r="D233" t="str">
            <v>OK</v>
          </cell>
        </row>
        <row r="235">
          <cell r="B235" t="str">
            <v>Comentarios:</v>
          </cell>
          <cell r="C235" t="str">
            <v>Corte por pánico de gas en panadería al lado de hornallas sin cartelería. Colocar.</v>
          </cell>
          <cell r="D235"/>
        </row>
        <row r="266">
          <cell r="B266" t="str">
            <v>4   OBSERVACIONES GENERALES</v>
          </cell>
          <cell r="C266"/>
          <cell r="D266"/>
        </row>
        <row r="268">
          <cell r="B268" t="str">
            <v>Comentarios:</v>
          </cell>
          <cell r="C268" t="str">
            <v>Pases de techos sin tapar.</v>
          </cell>
          <cell r="D268"/>
        </row>
      </sheetData>
      <sheetData sheetId="1"/>
      <sheetData sheetId="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I4UA5KMDVI5HJUPN4XJO34EXA">
      <xxl21:absoluteUrl r:id="rId2"/>
    </xxl21:alternateUrls>
    <sheetNames>
      <sheetName val="Informe"/>
      <sheetName val="Hoja1"/>
    </sheetNames>
    <sheetDataSet>
      <sheetData sheetId="0">
        <row r="5">
          <cell r="B5" t="str">
            <v>SUCURSAL:</v>
          </cell>
          <cell r="C5" t="str">
            <v>DEVOTO 16</v>
          </cell>
        </row>
        <row r="6">
          <cell r="B6"/>
          <cell r="D6"/>
        </row>
        <row r="7">
          <cell r="B7" t="str">
            <v>1    AIRE ACONDICIONADO</v>
          </cell>
          <cell r="C7"/>
          <cell r="D7"/>
        </row>
        <row r="8">
          <cell r="B8"/>
          <cell r="D8"/>
        </row>
        <row r="9">
          <cell r="B9" t="str">
            <v>CD/CI_x000D_
Sucursal</v>
          </cell>
          <cell r="C9">
            <v>0.8</v>
          </cell>
        </row>
        <row r="10">
          <cell r="B10"/>
          <cell r="D10"/>
        </row>
        <row r="11">
          <cell r="B11" t="str">
            <v>Código</v>
          </cell>
          <cell r="C11"/>
          <cell r="D11" t="str">
            <v>Estado del equipo</v>
          </cell>
        </row>
        <row r="12">
          <cell r="B12" t="str">
            <v>Equipo</v>
          </cell>
          <cell r="C12" t="str">
            <v>Intercambiadores</v>
          </cell>
          <cell r="D12" t="str">
            <v>Gabinete</v>
          </cell>
        </row>
        <row r="13">
          <cell r="B13" t="str">
            <v>DV16_R_01</v>
          </cell>
          <cell r="C13">
            <v>2</v>
          </cell>
          <cell r="D13">
            <v>2</v>
          </cell>
        </row>
        <row r="14">
          <cell r="B14" t="str">
            <v>DV16_R_02</v>
          </cell>
          <cell r="C14">
            <v>2</v>
          </cell>
          <cell r="D14">
            <v>2</v>
          </cell>
        </row>
        <row r="15">
          <cell r="B15" t="str">
            <v>DV16_R_03</v>
          </cell>
          <cell r="C15">
            <v>2</v>
          </cell>
          <cell r="D15">
            <v>2</v>
          </cell>
        </row>
        <row r="16">
          <cell r="B16" t="str">
            <v>DV16_R_04</v>
          </cell>
          <cell r="C16">
            <v>2</v>
          </cell>
          <cell r="D16">
            <v>2</v>
          </cell>
        </row>
        <row r="17">
          <cell r="B17" t="str">
            <v>DV16_R_05</v>
          </cell>
          <cell r="C17">
            <v>2</v>
          </cell>
          <cell r="D17">
            <v>2</v>
          </cell>
        </row>
        <row r="18">
          <cell r="B18"/>
          <cell r="D18"/>
        </row>
        <row r="19">
          <cell r="B19" t="str">
            <v>Comentarios:</v>
          </cell>
          <cell r="C19" t="str">
            <v>Rejillas de extracción de aire en salón muy sucias. Continúa.</v>
          </cell>
          <cell r="D19"/>
        </row>
        <row r="20">
          <cell r="B20" t="str">
            <v>R_02</v>
          </cell>
          <cell r="C20" t="str">
            <v>Retirar materiales eléctricos, compresores y tanques de gas fuera de servicio debajo del equipo.</v>
          </cell>
          <cell r="D20"/>
        </row>
        <row r="21">
          <cell r="B21"/>
          <cell r="D21"/>
        </row>
        <row r="22">
          <cell r="B22"/>
          <cell r="D22"/>
        </row>
        <row r="23">
          <cell r="B23"/>
          <cell r="D23"/>
        </row>
        <row r="24">
          <cell r="B24"/>
          <cell r="D24"/>
        </row>
        <row r="93">
          <cell r="B93" t="str">
            <v>2    ELÉCTRICA</v>
          </cell>
          <cell r="C93"/>
          <cell r="D93"/>
        </row>
        <row r="95">
          <cell r="B95" t="str">
            <v>Código</v>
          </cell>
          <cell r="C95" t="str">
            <v>Estado</v>
          </cell>
          <cell r="D95" t="str">
            <v>Mantenimiento</v>
          </cell>
        </row>
        <row r="96">
          <cell r="B96" t="str">
            <v>Generador</v>
          </cell>
          <cell r="C96" t="str">
            <v>Generador</v>
          </cell>
          <cell r="D96" t="str">
            <v>Proveedor</v>
          </cell>
        </row>
        <row r="97">
          <cell r="B97" t="str">
            <v>DV16_G_01</v>
          </cell>
          <cell r="C97">
            <v>2</v>
          </cell>
          <cell r="D97">
            <v>2</v>
          </cell>
        </row>
        <row r="98">
          <cell r="B98"/>
          <cell r="C98"/>
          <cell r="D98"/>
        </row>
        <row r="99">
          <cell r="B99" t="str">
            <v>GENERADOR</v>
          </cell>
          <cell r="C99"/>
          <cell r="D99" t="str">
            <v>Estado</v>
          </cell>
        </row>
        <row r="100">
          <cell r="B100" t="str">
            <v>Tanque de Combustible</v>
          </cell>
          <cell r="C100"/>
          <cell r="D100">
            <v>0.6</v>
          </cell>
        </row>
        <row r="101">
          <cell r="B101" t="str">
            <v>Batería</v>
          </cell>
          <cell r="C101"/>
          <cell r="D101" t="str">
            <v>OK</v>
          </cell>
        </row>
        <row r="102">
          <cell r="B102" t="str">
            <v>Liquido refrigerante</v>
          </cell>
          <cell r="C102"/>
          <cell r="D102" t="str">
            <v>NO OK</v>
          </cell>
        </row>
        <row r="103">
          <cell r="B103" t="str">
            <v>Lubricante</v>
          </cell>
          <cell r="C103"/>
          <cell r="D103" t="str">
            <v>OK</v>
          </cell>
        </row>
        <row r="105">
          <cell r="B105" t="str">
            <v>Comentarios:</v>
          </cell>
          <cell r="C105" t="str">
            <v>Alta presencia de óxido en tanque de radiador.</v>
          </cell>
          <cell r="D105"/>
        </row>
        <row r="106">
          <cell r="B106"/>
        </row>
        <row r="107">
          <cell r="B107"/>
        </row>
        <row r="141">
          <cell r="B141" t="str">
            <v>SUBESTACIÓN</v>
          </cell>
          <cell r="C141"/>
          <cell r="D141" t="str">
            <v>Estado</v>
          </cell>
        </row>
        <row r="142">
          <cell r="B142" t="str">
            <v>Objetos extraños</v>
          </cell>
          <cell r="C142"/>
          <cell r="D142" t="str">
            <v>OK</v>
          </cell>
        </row>
        <row r="143">
          <cell r="B143" t="str">
            <v>Filtraciones de agua</v>
          </cell>
          <cell r="C143"/>
          <cell r="D143" t="str">
            <v>OK</v>
          </cell>
        </row>
        <row r="144">
          <cell r="B144" t="str">
            <v>Tableros eléctricos</v>
          </cell>
          <cell r="C144"/>
          <cell r="D144" t="str">
            <v>OK</v>
          </cell>
        </row>
        <row r="145">
          <cell r="B145" t="str">
            <v>Bancos de _x000D_condensadores</v>
          </cell>
          <cell r="C145"/>
          <cell r="D145" t="str">
            <v>NO OK</v>
          </cell>
        </row>
        <row r="146">
          <cell r="D146"/>
        </row>
        <row r="147">
          <cell r="B147" t="str">
            <v>Comentarios:</v>
          </cell>
          <cell r="C147" t="str">
            <v>Display muestra alarma "AHC"</v>
          </cell>
          <cell r="D147"/>
        </row>
        <row r="148">
          <cell r="B148"/>
          <cell r="C148" t="str">
            <v>Dos de los gabinetes presentan pestillo de apertura rotos.</v>
          </cell>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B203" t="str">
            <v>UPS</v>
          </cell>
          <cell r="C203"/>
          <cell r="D203" t="str">
            <v>Estado</v>
          </cell>
        </row>
        <row r="204">
          <cell r="B204" t="str">
            <v>UPS en línea</v>
          </cell>
          <cell r="C204"/>
          <cell r="D204" t="str">
            <v>OK</v>
          </cell>
        </row>
        <row r="205">
          <cell r="B205" t="str">
            <v>Aire acondicionado</v>
          </cell>
          <cell r="C205"/>
          <cell r="D205" t="str">
            <v>NO OK</v>
          </cell>
        </row>
        <row r="206">
          <cell r="B206" t="str">
            <v>Estado de carga de baterías</v>
          </cell>
          <cell r="C206"/>
          <cell r="D206" t="str">
            <v>OK</v>
          </cell>
        </row>
        <row r="207">
          <cell r="C207"/>
          <cell r="D207"/>
        </row>
        <row r="208">
          <cell r="B208" t="str">
            <v>Comentarios:</v>
          </cell>
          <cell r="C208" t="str">
            <v>Retirar elementos apoyados sobre UPS.</v>
          </cell>
          <cell r="D208"/>
        </row>
        <row r="209">
          <cell r="B209"/>
          <cell r="C209" t="str">
            <v>Sala no cuenta con aire dedicado para su acondicionamiento térmico</v>
          </cell>
          <cell r="D209"/>
        </row>
        <row r="210">
          <cell r="C210"/>
          <cell r="D210"/>
        </row>
        <row r="211">
          <cell r="C211"/>
          <cell r="D211"/>
        </row>
        <row r="212">
          <cell r="C212"/>
          <cell r="D212"/>
        </row>
        <row r="213">
          <cell r="C213"/>
          <cell r="D213"/>
        </row>
        <row r="214">
          <cell r="C214"/>
          <cell r="D214"/>
        </row>
        <row r="215">
          <cell r="C215"/>
          <cell r="D215"/>
        </row>
        <row r="216">
          <cell r="C216"/>
          <cell r="D216"/>
        </row>
        <row r="217">
          <cell r="C217"/>
          <cell r="D217"/>
        </row>
        <row r="218">
          <cell r="C218"/>
          <cell r="D218"/>
        </row>
        <row r="219">
          <cell r="C219"/>
          <cell r="D219"/>
        </row>
        <row r="220">
          <cell r="C220"/>
          <cell r="D220"/>
        </row>
        <row r="221">
          <cell r="B221" t="str">
            <v>3    GAS</v>
          </cell>
          <cell r="C221"/>
          <cell r="D221"/>
        </row>
        <row r="223">
          <cell r="B223" t="str">
            <v>GAS</v>
          </cell>
          <cell r="C223"/>
          <cell r="D223" t="str">
            <v>Estado</v>
          </cell>
        </row>
        <row r="224">
          <cell r="B224" t="str">
            <v>Flexibles autorizados</v>
          </cell>
          <cell r="C224"/>
          <cell r="D224" t="str">
            <v>OK</v>
          </cell>
        </row>
        <row r="225">
          <cell r="B225" t="str">
            <v>Sistema de corte por pánico</v>
          </cell>
          <cell r="C225"/>
          <cell r="D225" t="str">
            <v>NO OK</v>
          </cell>
        </row>
        <row r="227">
          <cell r="B227" t="str">
            <v>Comentarios:</v>
          </cell>
          <cell r="C227" t="str">
            <v>Falta cartel de identificación para boton de corte de gas en panadería.</v>
          </cell>
          <cell r="D227"/>
        </row>
        <row r="228">
          <cell r="B228"/>
          <cell r="C228" t="str">
            <v>Acometida a horns en panadería sin pintar.</v>
          </cell>
          <cell r="D228"/>
        </row>
        <row r="229">
          <cell r="B229"/>
          <cell r="C229"/>
          <cell r="D229"/>
        </row>
        <row r="230">
          <cell r="B230"/>
          <cell r="C230"/>
          <cell r="D230"/>
        </row>
        <row r="231">
          <cell r="B231"/>
          <cell r="C231"/>
          <cell r="D231"/>
        </row>
        <row r="232">
          <cell r="B232"/>
          <cell r="C232"/>
          <cell r="D232"/>
        </row>
        <row r="233">
          <cell r="B233"/>
          <cell r="C233"/>
          <cell r="D233"/>
        </row>
        <row r="234">
          <cell r="B234"/>
          <cell r="C234"/>
          <cell r="D234"/>
        </row>
        <row r="235">
          <cell r="B235"/>
          <cell r="C235"/>
          <cell r="D235"/>
        </row>
        <row r="236">
          <cell r="B236"/>
          <cell r="C236"/>
          <cell r="D236"/>
        </row>
        <row r="237">
          <cell r="B237"/>
          <cell r="C237"/>
          <cell r="D237"/>
        </row>
        <row r="238">
          <cell r="B238"/>
          <cell r="C238"/>
          <cell r="D238"/>
        </row>
        <row r="239">
          <cell r="B239"/>
          <cell r="C239"/>
          <cell r="D239"/>
        </row>
        <row r="240">
          <cell r="B240"/>
          <cell r="C240"/>
          <cell r="D240"/>
        </row>
        <row r="241">
          <cell r="B241"/>
          <cell r="C241"/>
          <cell r="D241"/>
        </row>
        <row r="242">
          <cell r="B242"/>
          <cell r="C242"/>
          <cell r="D242"/>
        </row>
        <row r="243">
          <cell r="B243"/>
          <cell r="C243"/>
          <cell r="D243"/>
        </row>
        <row r="244">
          <cell r="B244"/>
          <cell r="C244"/>
          <cell r="D244"/>
        </row>
        <row r="245">
          <cell r="B245"/>
          <cell r="C245"/>
          <cell r="D245"/>
        </row>
        <row r="246">
          <cell r="B246"/>
          <cell r="C246"/>
          <cell r="D246"/>
        </row>
        <row r="247">
          <cell r="B247"/>
          <cell r="C247"/>
          <cell r="D247"/>
        </row>
        <row r="248">
          <cell r="B248"/>
          <cell r="C248"/>
          <cell r="D248"/>
        </row>
        <row r="249">
          <cell r="B249"/>
          <cell r="C249"/>
          <cell r="D249"/>
        </row>
        <row r="250">
          <cell r="B250"/>
          <cell r="C250"/>
          <cell r="D250"/>
        </row>
        <row r="251">
          <cell r="B251"/>
          <cell r="C251"/>
          <cell r="D251"/>
        </row>
        <row r="252">
          <cell r="B252"/>
          <cell r="C252"/>
          <cell r="D252"/>
        </row>
        <row r="253">
          <cell r="B253"/>
          <cell r="C253"/>
          <cell r="D253"/>
        </row>
        <row r="254">
          <cell r="B254"/>
          <cell r="C254"/>
          <cell r="D254"/>
        </row>
        <row r="255">
          <cell r="B255"/>
          <cell r="C255"/>
          <cell r="D255"/>
        </row>
        <row r="256">
          <cell r="B256"/>
          <cell r="C256"/>
          <cell r="D256"/>
        </row>
        <row r="257">
          <cell r="B257"/>
          <cell r="C257"/>
          <cell r="D257"/>
        </row>
        <row r="258">
          <cell r="B258"/>
          <cell r="C258"/>
          <cell r="D258"/>
        </row>
        <row r="259">
          <cell r="B259"/>
          <cell r="C259"/>
          <cell r="D259"/>
        </row>
        <row r="260">
          <cell r="B260"/>
          <cell r="C260"/>
          <cell r="D260"/>
        </row>
        <row r="261">
          <cell r="B261"/>
          <cell r="C261"/>
          <cell r="D261"/>
        </row>
        <row r="262">
          <cell r="B262"/>
          <cell r="C262"/>
          <cell r="D262"/>
        </row>
        <row r="263">
          <cell r="B263"/>
          <cell r="C263"/>
          <cell r="D263"/>
        </row>
        <row r="264">
          <cell r="B264"/>
          <cell r="C264"/>
          <cell r="D264"/>
        </row>
        <row r="265">
          <cell r="B265"/>
          <cell r="C265"/>
          <cell r="D265"/>
        </row>
        <row r="266">
          <cell r="B266"/>
          <cell r="C266"/>
          <cell r="D266"/>
        </row>
        <row r="267">
          <cell r="B267"/>
          <cell r="C267"/>
          <cell r="D267"/>
        </row>
      </sheetData>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VROYXLUWFG5C2SJXWBMGREQU6">
      <xxl21:absoluteUrl r:id="rId2"/>
    </xxl21:alternateUrls>
    <sheetNames>
      <sheetName val="Informe"/>
      <sheetName val="SPLITS"/>
      <sheetName val="MINISPLITS"/>
    </sheetNames>
    <sheetDataSet>
      <sheetData sheetId="0">
        <row r="4">
          <cell r="B4" t="str">
            <v>SUCURSAL:</v>
          </cell>
          <cell r="C4" t="str">
            <v>DEVOTO 18</v>
          </cell>
        </row>
        <row r="6">
          <cell r="B6" t="str">
            <v>1   AIRE ACONDICIONADO</v>
          </cell>
          <cell r="C6"/>
          <cell r="D6"/>
        </row>
        <row r="8">
          <cell r="B8" t="str">
            <v>CD/CI
Sucursal</v>
          </cell>
          <cell r="C8">
            <v>0.625</v>
          </cell>
        </row>
        <row r="10">
          <cell r="B10" t="str">
            <v>Código</v>
          </cell>
          <cell r="C10"/>
          <cell r="D10" t="str">
            <v>Estado del equipo</v>
          </cell>
        </row>
        <row r="11">
          <cell r="B11" t="str">
            <v>Equipo</v>
          </cell>
          <cell r="C11" t="str">
            <v>Intercambiadores</v>
          </cell>
          <cell r="D11" t="str">
            <v>Gabinete</v>
          </cell>
        </row>
        <row r="12">
          <cell r="B12" t="str">
            <v>DV18_S_01</v>
          </cell>
          <cell r="C12">
            <v>1</v>
          </cell>
          <cell r="D12">
            <v>2</v>
          </cell>
        </row>
        <row r="13">
          <cell r="B13" t="str">
            <v>DV18_S_02</v>
          </cell>
          <cell r="C13">
            <v>1</v>
          </cell>
          <cell r="D13">
            <v>2</v>
          </cell>
        </row>
        <row r="14">
          <cell r="B14" t="str">
            <v>DV18_S_03</v>
          </cell>
          <cell r="C14">
            <v>1</v>
          </cell>
          <cell r="D14">
            <v>2</v>
          </cell>
        </row>
        <row r="15">
          <cell r="B15" t="str">
            <v>DV18_S_04</v>
          </cell>
          <cell r="C15">
            <v>2</v>
          </cell>
          <cell r="D15">
            <v>2</v>
          </cell>
        </row>
        <row r="16">
          <cell r="B16"/>
          <cell r="D16"/>
        </row>
        <row r="17">
          <cell r="B17" t="str">
            <v>Comentarios:</v>
          </cell>
          <cell r="C17" t="str">
            <v>S_01</v>
          </cell>
          <cell r="D17" t="str">
            <v>Retirar unidad fuera de servicio.</v>
          </cell>
        </row>
        <row r="18">
          <cell r="B18" t="str">
            <v>S_02E</v>
          </cell>
          <cell r="C18" t="str">
            <v>Falta un compresor.</v>
          </cell>
          <cell r="D18"/>
        </row>
        <row r="19">
          <cell r="B19" t="str">
            <v>S_03I</v>
          </cell>
          <cell r="C19" t="str">
            <v>Elementos acopiados sobre ductos en la unidad interior. Retirar.</v>
          </cell>
          <cell r="D19"/>
        </row>
        <row r="20">
          <cell r="B20" t="str">
            <v>S_03E</v>
          </cell>
          <cell r="C20" t="str">
            <v>Aletado en intercambiador exterior en malas condiciones.</v>
          </cell>
          <cell r="D20"/>
        </row>
        <row r="21">
          <cell r="B21"/>
          <cell r="D21"/>
        </row>
        <row r="22">
          <cell r="B22"/>
          <cell r="D22"/>
        </row>
        <row r="23">
          <cell r="B23"/>
          <cell r="D23"/>
        </row>
        <row r="24">
          <cell r="B24"/>
        </row>
        <row r="54">
          <cell r="B54"/>
          <cell r="C54"/>
        </row>
        <row r="55">
          <cell r="B55"/>
          <cell r="C55"/>
        </row>
        <row r="56">
          <cell r="B56"/>
          <cell r="C56"/>
        </row>
        <row r="57">
          <cell r="B57"/>
          <cell r="C57"/>
        </row>
        <row r="58">
          <cell r="B58"/>
          <cell r="C58"/>
        </row>
        <row r="59">
          <cell r="B59"/>
          <cell r="C59"/>
        </row>
        <row r="60">
          <cell r="B60"/>
          <cell r="C60"/>
        </row>
        <row r="61">
          <cell r="B61"/>
          <cell r="C61"/>
        </row>
        <row r="62">
          <cell r="B62"/>
          <cell r="C62"/>
        </row>
        <row r="63">
          <cell r="B63"/>
          <cell r="C63"/>
        </row>
        <row r="64">
          <cell r="B64"/>
          <cell r="C64"/>
        </row>
        <row r="65">
          <cell r="B65"/>
          <cell r="C65"/>
        </row>
        <row r="66">
          <cell r="B66"/>
          <cell r="C66"/>
        </row>
        <row r="67">
          <cell r="B67"/>
          <cell r="C67"/>
        </row>
        <row r="68">
          <cell r="B68"/>
          <cell r="C68"/>
        </row>
        <row r="69">
          <cell r="B69"/>
          <cell r="C69"/>
        </row>
        <row r="70">
          <cell r="B70"/>
          <cell r="C70"/>
        </row>
        <row r="71">
          <cell r="B71"/>
          <cell r="C71"/>
        </row>
        <row r="72">
          <cell r="B72"/>
          <cell r="C72"/>
        </row>
        <row r="73">
          <cell r="B73"/>
          <cell r="C73"/>
        </row>
        <row r="74">
          <cell r="B74"/>
          <cell r="C74"/>
        </row>
        <row r="75">
          <cell r="B75"/>
          <cell r="C75"/>
        </row>
        <row r="76">
          <cell r="B76"/>
          <cell r="C76"/>
        </row>
        <row r="77">
          <cell r="B77"/>
          <cell r="C77"/>
        </row>
        <row r="78">
          <cell r="B78"/>
          <cell r="C78"/>
        </row>
        <row r="79">
          <cell r="B79"/>
          <cell r="C79"/>
        </row>
        <row r="80">
          <cell r="B80"/>
          <cell r="C80"/>
        </row>
        <row r="81">
          <cell r="B81"/>
          <cell r="C81"/>
        </row>
        <row r="82">
          <cell r="B82"/>
          <cell r="C82"/>
        </row>
        <row r="83">
          <cell r="B83"/>
          <cell r="C83"/>
        </row>
        <row r="84">
          <cell r="B84"/>
          <cell r="C84"/>
        </row>
        <row r="85">
          <cell r="B85"/>
          <cell r="C85"/>
        </row>
        <row r="86">
          <cell r="B86"/>
          <cell r="C86"/>
        </row>
        <row r="87">
          <cell r="B87"/>
          <cell r="C87"/>
        </row>
        <row r="88">
          <cell r="B88"/>
          <cell r="C88"/>
        </row>
        <row r="89">
          <cell r="B89"/>
          <cell r="C89"/>
        </row>
        <row r="90">
          <cell r="B90"/>
          <cell r="C90"/>
        </row>
        <row r="91">
          <cell r="B91"/>
          <cell r="C91"/>
        </row>
        <row r="92">
          <cell r="B92"/>
          <cell r="C92"/>
        </row>
        <row r="93">
          <cell r="B93" t="str">
            <v>2   ELÉCTRICA</v>
          </cell>
          <cell r="C93"/>
          <cell r="D93"/>
        </row>
        <row r="95">
          <cell r="B95" t="str">
            <v>Código</v>
          </cell>
          <cell r="C95" t="str">
            <v>Estado</v>
          </cell>
          <cell r="D95" t="str">
            <v>Mantenimiento</v>
          </cell>
        </row>
        <row r="96">
          <cell r="B96" t="str">
            <v>Generador</v>
          </cell>
          <cell r="C96" t="str">
            <v>Generador</v>
          </cell>
          <cell r="D96" t="str">
            <v>Proveedor</v>
          </cell>
        </row>
        <row r="97">
          <cell r="B97" t="str">
            <v>DV18_G_01</v>
          </cell>
          <cell r="C97">
            <v>2</v>
          </cell>
          <cell r="D97">
            <v>1</v>
          </cell>
        </row>
        <row r="98">
          <cell r="B98"/>
          <cell r="C98"/>
        </row>
        <row r="99">
          <cell r="B99" t="str">
            <v>GENERADOR</v>
          </cell>
          <cell r="C99"/>
          <cell r="D99" t="str">
            <v>Estado</v>
          </cell>
        </row>
        <row r="100">
          <cell r="B100" t="str">
            <v>Tanque de Combustble</v>
          </cell>
          <cell r="C100"/>
          <cell r="D100" t="str">
            <v>-</v>
          </cell>
        </row>
        <row r="101">
          <cell r="B101" t="str">
            <v>Batería</v>
          </cell>
          <cell r="C101"/>
          <cell r="D101" t="str">
            <v>OK</v>
          </cell>
        </row>
        <row r="102">
          <cell r="B102" t="str">
            <v>Liquido refrigerante</v>
          </cell>
          <cell r="C102"/>
          <cell r="D102" t="str">
            <v>NO OK</v>
          </cell>
        </row>
        <row r="103">
          <cell r="B103" t="str">
            <v>Aceite</v>
          </cell>
          <cell r="C103"/>
          <cell r="D103" t="str">
            <v>OK</v>
          </cell>
        </row>
        <row r="104">
          <cell r="D104"/>
        </row>
        <row r="105">
          <cell r="B105" t="str">
            <v>Comentarios:</v>
          </cell>
          <cell r="C105" t="str">
            <v>Colocar bandeja Daisa para acometida eléctrica.</v>
          </cell>
          <cell r="D105"/>
        </row>
        <row r="106">
          <cell r="B106"/>
          <cell r="C106" t="str">
            <v>Proteger correas.</v>
          </cell>
          <cell r="D106"/>
        </row>
        <row r="107">
          <cell r="B107"/>
          <cell r="C107" t="str">
            <v>Display equipo muestra alarma "A07"</v>
          </cell>
          <cell r="D107"/>
        </row>
        <row r="108">
          <cell r="B108"/>
          <cell r="C108"/>
          <cell r="D108"/>
        </row>
        <row r="109">
          <cell r="B109"/>
          <cell r="C109"/>
          <cell r="D109"/>
        </row>
        <row r="110">
          <cell r="B110"/>
          <cell r="C110"/>
          <cell r="D110"/>
        </row>
        <row r="111">
          <cell r="B111"/>
          <cell r="C111"/>
        </row>
        <row r="112">
          <cell r="B112"/>
          <cell r="C112"/>
          <cell r="D112"/>
        </row>
        <row r="113">
          <cell r="C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B136" t="str">
            <v>SUBESTACIÓN</v>
          </cell>
          <cell r="C136"/>
          <cell r="D136" t="str">
            <v>Estado</v>
          </cell>
        </row>
        <row r="137">
          <cell r="B137" t="str">
            <v>Objetos extraños</v>
          </cell>
          <cell r="C137"/>
          <cell r="D137" t="str">
            <v>OK</v>
          </cell>
        </row>
        <row r="138">
          <cell r="B138" t="str">
            <v>Filtraciones de agua</v>
          </cell>
          <cell r="C138"/>
          <cell r="D138" t="str">
            <v>OK</v>
          </cell>
        </row>
        <row r="139">
          <cell r="B139" t="str">
            <v>Tableros eléctricos</v>
          </cell>
          <cell r="C139"/>
          <cell r="D139" t="str">
            <v>OK</v>
          </cell>
        </row>
        <row r="140">
          <cell r="B140" t="str">
            <v>Bancos de condensadores</v>
          </cell>
          <cell r="C140"/>
          <cell r="D140" t="str">
            <v>OK</v>
          </cell>
        </row>
        <row r="141">
          <cell r="D141"/>
        </row>
        <row r="142">
          <cell r="B142" t="str">
            <v>Comentarios:</v>
          </cell>
          <cell r="C142" t="str">
            <v>Cable acometida a borneras entre llaves TERASAKI 1 y 2 a 50°C. Verificar.</v>
          </cell>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B202" t="str">
            <v>UPS</v>
          </cell>
          <cell r="C202"/>
          <cell r="D202" t="str">
            <v>Estado</v>
          </cell>
        </row>
        <row r="203">
          <cell r="B203" t="str">
            <v>UPS en línea</v>
          </cell>
          <cell r="C203"/>
          <cell r="D203" t="str">
            <v>OK</v>
          </cell>
        </row>
        <row r="204">
          <cell r="B204" t="str">
            <v>Aire acondicionado dedicado</v>
          </cell>
          <cell r="C204"/>
          <cell r="D204" t="str">
            <v>OK</v>
          </cell>
        </row>
        <row r="205">
          <cell r="B205" t="str">
            <v>Estado de carga de baterías</v>
          </cell>
          <cell r="C205"/>
          <cell r="D205" t="str">
            <v>OK</v>
          </cell>
        </row>
        <row r="206">
          <cell r="B206"/>
          <cell r="C206"/>
        </row>
        <row r="207">
          <cell r="B207"/>
          <cell r="C207"/>
        </row>
        <row r="210">
          <cell r="B210"/>
        </row>
        <row r="211">
          <cell r="B211"/>
        </row>
        <row r="212">
          <cell r="B212"/>
        </row>
        <row r="218">
          <cell r="B218" t="str">
            <v>3   GAS</v>
          </cell>
          <cell r="C218"/>
          <cell r="D218"/>
        </row>
        <row r="220">
          <cell r="B220" t="str">
            <v>GAS</v>
          </cell>
          <cell r="C220"/>
          <cell r="D220" t="str">
            <v>Estado</v>
          </cell>
        </row>
        <row r="221">
          <cell r="B221" t="str">
            <v>Flexibles autorizados</v>
          </cell>
          <cell r="C221"/>
          <cell r="D221" t="str">
            <v>N/A</v>
          </cell>
        </row>
        <row r="222">
          <cell r="B222" t="str">
            <v>Sistema de corte por pánico</v>
          </cell>
          <cell r="C222"/>
          <cell r="D222" t="str">
            <v>N/A</v>
          </cell>
        </row>
        <row r="223">
          <cell r="C223"/>
          <cell r="D223"/>
        </row>
        <row r="224">
          <cell r="C224"/>
          <cell r="D224"/>
        </row>
        <row r="225">
          <cell r="C225"/>
          <cell r="D225"/>
        </row>
        <row r="226">
          <cell r="C226"/>
          <cell r="D226"/>
        </row>
        <row r="227">
          <cell r="C227"/>
          <cell r="D227"/>
        </row>
        <row r="228">
          <cell r="C228"/>
          <cell r="D228"/>
        </row>
        <row r="229">
          <cell r="C229"/>
          <cell r="D229"/>
        </row>
        <row r="230">
          <cell r="C230"/>
          <cell r="D230"/>
        </row>
        <row r="231">
          <cell r="C231"/>
          <cell r="D231"/>
        </row>
        <row r="232">
          <cell r="C232"/>
          <cell r="D232"/>
        </row>
        <row r="233">
          <cell r="C233"/>
          <cell r="D233"/>
        </row>
        <row r="234">
          <cell r="C234"/>
          <cell r="D234"/>
        </row>
        <row r="235">
          <cell r="C235"/>
          <cell r="D235"/>
        </row>
        <row r="236">
          <cell r="C236"/>
          <cell r="D236"/>
        </row>
        <row r="237">
          <cell r="C237"/>
          <cell r="D237"/>
        </row>
        <row r="238">
          <cell r="C238"/>
          <cell r="D238"/>
        </row>
        <row r="239">
          <cell r="C239"/>
          <cell r="D239"/>
        </row>
        <row r="240">
          <cell r="C240"/>
          <cell r="D240"/>
        </row>
        <row r="241">
          <cell r="C241"/>
          <cell r="D241"/>
        </row>
        <row r="242">
          <cell r="C242"/>
          <cell r="D242"/>
        </row>
        <row r="243">
          <cell r="C243"/>
          <cell r="D243"/>
        </row>
        <row r="244">
          <cell r="C244"/>
          <cell r="D244"/>
        </row>
        <row r="245">
          <cell r="C245"/>
          <cell r="D245"/>
        </row>
        <row r="246">
          <cell r="C246"/>
          <cell r="D246"/>
        </row>
        <row r="247">
          <cell r="C247"/>
          <cell r="D247"/>
        </row>
        <row r="248">
          <cell r="C248"/>
          <cell r="D248"/>
        </row>
        <row r="249">
          <cell r="C249"/>
          <cell r="D249"/>
        </row>
        <row r="250">
          <cell r="C250"/>
          <cell r="D250"/>
        </row>
        <row r="251">
          <cell r="C251"/>
          <cell r="D251"/>
        </row>
        <row r="252">
          <cell r="C252"/>
          <cell r="D252"/>
        </row>
        <row r="253">
          <cell r="C253"/>
          <cell r="D253"/>
        </row>
        <row r="254">
          <cell r="C254"/>
          <cell r="D254"/>
        </row>
        <row r="255">
          <cell r="C255"/>
          <cell r="D255"/>
        </row>
        <row r="256">
          <cell r="C256"/>
          <cell r="D256"/>
        </row>
        <row r="257">
          <cell r="C257"/>
          <cell r="D257"/>
        </row>
      </sheetData>
      <sheetData sheetId="1"/>
      <sheetData sheetId="2"/>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YN367ILTPLFVFJSF4TLYRA65SG">
      <xxl21:absoluteUrl r:id="rId2"/>
    </xxl21:alternateUrls>
    <sheetNames>
      <sheetName val="Informe"/>
    </sheetNames>
    <sheetDataSet>
      <sheetData sheetId="0">
        <row r="5">
          <cell r="B5" t="str">
            <v>SUCURSAL:</v>
          </cell>
          <cell r="C5" t="str">
            <v>DEVOTO 19</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DV19_UE_ S_02</v>
          </cell>
          <cell r="C13">
            <v>3</v>
          </cell>
          <cell r="D13">
            <v>3</v>
          </cell>
        </row>
        <row r="14">
          <cell r="B14" t="str">
            <v>DV19_UI S_02</v>
          </cell>
          <cell r="C14">
            <v>3</v>
          </cell>
          <cell r="D14">
            <v>3</v>
          </cell>
        </row>
        <row r="15">
          <cell r="B15" t="str">
            <v>DV19_UE S_03</v>
          </cell>
          <cell r="C15">
            <v>2</v>
          </cell>
          <cell r="D15">
            <v>2</v>
          </cell>
        </row>
        <row r="16">
          <cell r="B16" t="str">
            <v>DV19_UI S_03</v>
          </cell>
          <cell r="C16">
            <v>2</v>
          </cell>
          <cell r="D16">
            <v>2</v>
          </cell>
        </row>
        <row r="17">
          <cell r="B17" t="str">
            <v>DV19_S_04</v>
          </cell>
          <cell r="C17">
            <v>2</v>
          </cell>
          <cell r="D17">
            <v>3</v>
          </cell>
        </row>
        <row r="18">
          <cell r="B18" t="str">
            <v>DV19_S_05</v>
          </cell>
          <cell r="C18">
            <v>2</v>
          </cell>
          <cell r="D18">
            <v>3</v>
          </cell>
        </row>
        <row r="19">
          <cell r="B19" t="str">
            <v>DV19_S_06</v>
          </cell>
          <cell r="C19">
            <v>3</v>
          </cell>
          <cell r="D19">
            <v>3</v>
          </cell>
        </row>
        <row r="20">
          <cell r="B20" t="str">
            <v>DV19_S_07</v>
          </cell>
          <cell r="C20">
            <v>2</v>
          </cell>
          <cell r="D20">
            <v>2</v>
          </cell>
        </row>
        <row r="21">
          <cell r="B21" t="str">
            <v>DV19_S_08</v>
          </cell>
          <cell r="C21">
            <v>2</v>
          </cell>
          <cell r="D21">
            <v>2</v>
          </cell>
        </row>
        <row r="22">
          <cell r="D22"/>
        </row>
        <row r="23">
          <cell r="B23" t="str">
            <v>Comentarios:</v>
          </cell>
          <cell r="C23" t="str">
            <v>Se sustituyo la unidad interior y exterior del S02.</v>
          </cell>
          <cell r="D23"/>
        </row>
        <row r="24">
          <cell r="B24" t="str">
            <v>S_04/S_05</v>
          </cell>
          <cell r="C24" t="str">
            <v>Intercambiador sucio, continua.</v>
          </cell>
          <cell r="D24"/>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B193" t="str">
            <v>2. GENERADOR</v>
          </cell>
          <cell r="C193"/>
          <cell r="D193"/>
        </row>
        <row r="195">
          <cell r="B195" t="str">
            <v>Código</v>
          </cell>
          <cell r="C195" t="str">
            <v>Estado</v>
          </cell>
          <cell r="D195" t="str">
            <v>Mantenimiento</v>
          </cell>
        </row>
        <row r="196">
          <cell r="B196" t="str">
            <v>Generador</v>
          </cell>
          <cell r="C196" t="str">
            <v>Generador</v>
          </cell>
          <cell r="D196" t="str">
            <v>Proveedor</v>
          </cell>
        </row>
        <row r="197">
          <cell r="B197" t="str">
            <v>DV19_G_01</v>
          </cell>
          <cell r="C197">
            <v>2</v>
          </cell>
          <cell r="D197">
            <v>2</v>
          </cell>
        </row>
        <row r="198">
          <cell r="B198"/>
          <cell r="C198"/>
          <cell r="D198"/>
        </row>
        <row r="199">
          <cell r="B199" t="str">
            <v>GENERADOR</v>
          </cell>
          <cell r="C199"/>
          <cell r="D199" t="str">
            <v>Estado</v>
          </cell>
        </row>
        <row r="200">
          <cell r="B200" t="str">
            <v>Tanque de Combustible</v>
          </cell>
          <cell r="C200"/>
          <cell r="D200" t="str">
            <v>OK</v>
          </cell>
        </row>
        <row r="201">
          <cell r="B201" t="str">
            <v>Batería</v>
          </cell>
          <cell r="C201"/>
          <cell r="D201" t="str">
            <v>OK</v>
          </cell>
        </row>
        <row r="202">
          <cell r="B202" t="str">
            <v>Refrigerante</v>
          </cell>
          <cell r="C202"/>
          <cell r="D202" t="str">
            <v>OK</v>
          </cell>
        </row>
        <row r="203">
          <cell r="B203" t="str">
            <v>Lubricante</v>
          </cell>
          <cell r="C203"/>
          <cell r="D203" t="str">
            <v>OK</v>
          </cell>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B240" t="str">
            <v>SUBESTACIÓN</v>
          </cell>
          <cell r="C240"/>
          <cell r="D240" t="str">
            <v>Estado</v>
          </cell>
        </row>
        <row r="241">
          <cell r="B241" t="str">
            <v>Objetos extraños</v>
          </cell>
          <cell r="C241"/>
          <cell r="D241" t="str">
            <v>OK</v>
          </cell>
        </row>
        <row r="242">
          <cell r="B242" t="str">
            <v>Filtraciones de agua</v>
          </cell>
          <cell r="C242"/>
          <cell r="D242" t="str">
            <v>OK</v>
          </cell>
        </row>
        <row r="243">
          <cell r="B243" t="str">
            <v>Tableros eléctricos</v>
          </cell>
          <cell r="C243"/>
          <cell r="D243" t="str">
            <v>OK</v>
          </cell>
        </row>
        <row r="244">
          <cell r="B244" t="str">
            <v>Bancos de 
condensadores</v>
          </cell>
          <cell r="C244"/>
          <cell r="D244" t="str">
            <v>OK</v>
          </cell>
        </row>
        <row r="245">
          <cell r="D245"/>
        </row>
        <row r="246">
          <cell r="B246" t="str">
            <v>Comentarios:</v>
          </cell>
          <cell r="C246" t="str">
            <v>Display alterna entre FP y alarma A.HC, continua.</v>
          </cell>
          <cell r="D246"/>
        </row>
        <row r="247">
          <cell r="C247"/>
          <cell r="D247"/>
        </row>
        <row r="248">
          <cell r="D248"/>
        </row>
        <row r="249">
          <cell r="D249"/>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D263"/>
        </row>
        <row r="264">
          <cell r="D264"/>
        </row>
        <row r="265">
          <cell r="D265"/>
        </row>
        <row r="266">
          <cell r="D266"/>
        </row>
        <row r="267">
          <cell r="D267"/>
        </row>
        <row r="268">
          <cell r="D268"/>
        </row>
        <row r="269">
          <cell r="D269"/>
        </row>
        <row r="270">
          <cell r="D270"/>
        </row>
        <row r="271">
          <cell r="D271"/>
        </row>
        <row r="272">
          <cell r="D272"/>
        </row>
        <row r="273">
          <cell r="D273"/>
        </row>
        <row r="274">
          <cell r="D274"/>
        </row>
        <row r="275">
          <cell r="D275"/>
        </row>
        <row r="276">
          <cell r="D276"/>
        </row>
        <row r="277">
          <cell r="D277"/>
        </row>
        <row r="278">
          <cell r="D278"/>
        </row>
        <row r="279">
          <cell r="D279"/>
        </row>
        <row r="280">
          <cell r="D280"/>
        </row>
        <row r="281">
          <cell r="D281"/>
        </row>
        <row r="282">
          <cell r="D282"/>
        </row>
        <row r="283">
          <cell r="D283"/>
        </row>
        <row r="284">
          <cell r="D284"/>
        </row>
        <row r="285">
          <cell r="D285"/>
        </row>
        <row r="286">
          <cell r="D286"/>
        </row>
        <row r="287">
          <cell r="D287"/>
        </row>
        <row r="288">
          <cell r="D288"/>
        </row>
        <row r="289">
          <cell r="D289"/>
        </row>
        <row r="290">
          <cell r="D290"/>
        </row>
        <row r="291">
          <cell r="D291"/>
        </row>
        <row r="292">
          <cell r="D292"/>
        </row>
        <row r="293">
          <cell r="D293"/>
        </row>
        <row r="294">
          <cell r="D294"/>
        </row>
        <row r="295">
          <cell r="D295"/>
        </row>
        <row r="296">
          <cell r="D296"/>
        </row>
        <row r="297">
          <cell r="D297"/>
        </row>
        <row r="298">
          <cell r="D298"/>
        </row>
        <row r="299">
          <cell r="D299"/>
        </row>
        <row r="300">
          <cell r="D300"/>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Z4IPGLDY2PZBGITD776XUBP2WP">
      <xxl21:absoluteUrl r:id="rId2"/>
    </xxl21:alternateUrls>
    <sheetNames>
      <sheetName val="Informe"/>
    </sheetNames>
    <sheetDataSet>
      <sheetData sheetId="0">
        <row r="4">
          <cell r="B4" t="str">
            <v>SUCURSAL:</v>
          </cell>
          <cell r="C4" t="str">
            <v>DEVOTO 20</v>
          </cell>
        </row>
        <row r="6">
          <cell r="B6" t="str">
            <v>1   AIRE ACONDICIONADO</v>
          </cell>
          <cell r="C6"/>
          <cell r="D6"/>
        </row>
        <row r="8">
          <cell r="B8" t="str">
            <v>CD/CI
Sucursal</v>
          </cell>
          <cell r="C8">
            <v>1</v>
          </cell>
        </row>
        <row r="10">
          <cell r="B10" t="str">
            <v>Código</v>
          </cell>
          <cell r="C10" t="str">
            <v>Estado del equipo</v>
          </cell>
          <cell r="D10"/>
        </row>
        <row r="11">
          <cell r="B11" t="str">
            <v>Equipo</v>
          </cell>
          <cell r="C11" t="str">
            <v>Intercambiadores</v>
          </cell>
          <cell r="D11" t="str">
            <v>Gabinete</v>
          </cell>
        </row>
        <row r="12">
          <cell r="B12" t="str">
            <v>DV20_R_01</v>
          </cell>
          <cell r="C12">
            <v>1</v>
          </cell>
          <cell r="D12">
            <v>2</v>
          </cell>
        </row>
        <row r="13">
          <cell r="B13" t="str">
            <v>DV20_S_01</v>
          </cell>
          <cell r="C13">
            <v>2</v>
          </cell>
          <cell r="D13">
            <v>2</v>
          </cell>
        </row>
        <row r="14">
          <cell r="B14" t="str">
            <v>DV20_S_02</v>
          </cell>
          <cell r="C14">
            <v>2</v>
          </cell>
          <cell r="D14">
            <v>3</v>
          </cell>
        </row>
        <row r="15">
          <cell r="B15" t="str">
            <v>DV20_S_03</v>
          </cell>
          <cell r="C15">
            <v>2</v>
          </cell>
          <cell r="D15">
            <v>3</v>
          </cell>
        </row>
        <row r="16">
          <cell r="B16" t="str">
            <v>DV20_S_04</v>
          </cell>
          <cell r="C16">
            <v>2</v>
          </cell>
          <cell r="D16">
            <v>3</v>
          </cell>
        </row>
        <row r="17">
          <cell r="B17" t="str">
            <v>DV20_S_05</v>
          </cell>
          <cell r="C17">
            <v>2</v>
          </cell>
          <cell r="D17">
            <v>3</v>
          </cell>
        </row>
        <row r="18">
          <cell r="B18" t="str">
            <v>DV20_S_06</v>
          </cell>
          <cell r="C18">
            <v>2</v>
          </cell>
          <cell r="D18">
            <v>3</v>
          </cell>
        </row>
        <row r="19">
          <cell r="B19" t="str">
            <v>DV20_S_07</v>
          </cell>
          <cell r="C19">
            <v>2</v>
          </cell>
          <cell r="D19">
            <v>3</v>
          </cell>
        </row>
        <row r="20">
          <cell r="B20" t="str">
            <v>DV20_S_08</v>
          </cell>
          <cell r="C20">
            <v>2</v>
          </cell>
          <cell r="D20">
            <v>3</v>
          </cell>
        </row>
        <row r="21">
          <cell r="D21"/>
        </row>
        <row r="22">
          <cell r="B22" t="str">
            <v>Comentarios:</v>
          </cell>
          <cell r="C22"/>
          <cell r="D22"/>
        </row>
        <row r="23">
          <cell r="B23" t="str">
            <v>S_01</v>
          </cell>
          <cell r="C23" t="str">
            <v>Rejilla interior caída</v>
          </cell>
          <cell r="D23"/>
        </row>
        <row r="24">
          <cell r="B24" t="str">
            <v>S_01</v>
          </cell>
          <cell r="C24" t="str">
            <v>Gabinete de equipo abollado.</v>
          </cell>
          <cell r="D24"/>
        </row>
        <row r="25">
          <cell r="B25" t="str">
            <v>R_01</v>
          </cell>
          <cell r="C25" t="str">
            <v>Bandeja deacometida eléctrica abollada.</v>
          </cell>
          <cell r="D25"/>
        </row>
        <row r="26">
          <cell r="B26" t="str">
            <v>R_01</v>
          </cell>
          <cell r="C26" t="str">
            <v>Retirar tablas y bomberito acopiados sobre plataforma.</v>
          </cell>
          <cell r="D26"/>
        </row>
        <row r="27">
          <cell r="B27"/>
          <cell r="C27"/>
          <cell r="D27"/>
        </row>
        <row r="28">
          <cell r="B28"/>
          <cell r="C28"/>
          <cell r="D28"/>
        </row>
        <row r="29">
          <cell r="B29"/>
          <cell r="C29"/>
          <cell r="D29"/>
        </row>
        <row r="30">
          <cell r="B30"/>
          <cell r="C30"/>
          <cell r="D30"/>
        </row>
        <row r="31">
          <cell r="B31"/>
          <cell r="C31"/>
          <cell r="D31"/>
        </row>
        <row r="32">
          <cell r="B32"/>
          <cell r="C32"/>
          <cell r="D32"/>
        </row>
        <row r="33">
          <cell r="B33"/>
          <cell r="C33"/>
          <cell r="D33"/>
        </row>
        <row r="34">
          <cell r="B34"/>
          <cell r="C34"/>
          <cell r="D34"/>
        </row>
        <row r="35">
          <cell r="B35"/>
          <cell r="C35"/>
          <cell r="D35"/>
        </row>
        <row r="36">
          <cell r="B36"/>
          <cell r="C36"/>
          <cell r="D36"/>
        </row>
        <row r="37">
          <cell r="B37"/>
          <cell r="C37"/>
          <cell r="D37"/>
        </row>
        <row r="38">
          <cell r="B38"/>
          <cell r="C38"/>
          <cell r="D38"/>
        </row>
        <row r="39">
          <cell r="B39"/>
          <cell r="C39"/>
          <cell r="D39"/>
        </row>
        <row r="165">
          <cell r="B165" t="str">
            <v>2   ELÉCTRICA</v>
          </cell>
          <cell r="C165"/>
          <cell r="D165"/>
        </row>
        <row r="167">
          <cell r="B167" t="str">
            <v>Código</v>
          </cell>
          <cell r="C167" t="str">
            <v>Estado</v>
          </cell>
          <cell r="D167" t="str">
            <v>Mantenimiento</v>
          </cell>
        </row>
        <row r="168">
          <cell r="B168" t="str">
            <v>Generador</v>
          </cell>
          <cell r="C168" t="str">
            <v>Generador</v>
          </cell>
          <cell r="D168" t="str">
            <v>Proveedor</v>
          </cell>
        </row>
        <row r="169">
          <cell r="B169" t="str">
            <v>DV20_G_01</v>
          </cell>
          <cell r="C169">
            <v>3</v>
          </cell>
          <cell r="D169">
            <v>3</v>
          </cell>
        </row>
        <row r="170">
          <cell r="B170"/>
          <cell r="C170"/>
        </row>
        <row r="171">
          <cell r="B171" t="str">
            <v>GENERADOR</v>
          </cell>
          <cell r="C171"/>
          <cell r="D171" t="str">
            <v>Estado</v>
          </cell>
        </row>
        <row r="172">
          <cell r="B172" t="str">
            <v>Tanque de Combustible</v>
          </cell>
          <cell r="C172"/>
          <cell r="D172">
            <v>0.9</v>
          </cell>
        </row>
        <row r="173">
          <cell r="B173" t="str">
            <v>Batería</v>
          </cell>
          <cell r="C173"/>
          <cell r="D173" t="str">
            <v>OK</v>
          </cell>
        </row>
        <row r="174">
          <cell r="B174" t="str">
            <v>Liquido refrigerante</v>
          </cell>
          <cell r="C174"/>
          <cell r="D174" t="str">
            <v>OK</v>
          </cell>
        </row>
        <row r="175">
          <cell r="B175" t="str">
            <v>Aceite</v>
          </cell>
          <cell r="C175"/>
          <cell r="D175" t="str">
            <v>OK</v>
          </cell>
        </row>
        <row r="192">
          <cell r="D192"/>
        </row>
        <row r="193">
          <cell r="B193"/>
          <cell r="C193"/>
        </row>
        <row r="194">
          <cell r="B194"/>
          <cell r="C194"/>
        </row>
        <row r="195">
          <cell r="B195"/>
          <cell r="C195"/>
        </row>
        <row r="196">
          <cell r="B196"/>
          <cell r="C196"/>
        </row>
        <row r="197">
          <cell r="B197"/>
          <cell r="C197"/>
        </row>
        <row r="198">
          <cell r="B198"/>
          <cell r="C198"/>
        </row>
        <row r="199">
          <cell r="B199"/>
          <cell r="C199"/>
        </row>
        <row r="200">
          <cell r="B200"/>
          <cell r="C200"/>
        </row>
        <row r="201">
          <cell r="B201"/>
          <cell r="C201"/>
        </row>
        <row r="202">
          <cell r="B202"/>
          <cell r="C202"/>
        </row>
        <row r="203">
          <cell r="B203"/>
          <cell r="C203"/>
        </row>
        <row r="204">
          <cell r="B204"/>
          <cell r="C204"/>
        </row>
        <row r="205">
          <cell r="B205"/>
          <cell r="C205"/>
        </row>
        <row r="206">
          <cell r="B206"/>
          <cell r="C206"/>
        </row>
        <row r="207">
          <cell r="B207"/>
          <cell r="C207"/>
        </row>
        <row r="208">
          <cell r="B208"/>
          <cell r="C208"/>
        </row>
        <row r="209">
          <cell r="B209"/>
          <cell r="C209"/>
        </row>
        <row r="210">
          <cell r="B210"/>
          <cell r="C210"/>
        </row>
        <row r="211">
          <cell r="B211"/>
          <cell r="C211"/>
        </row>
        <row r="212">
          <cell r="B212"/>
          <cell r="C212"/>
        </row>
        <row r="213">
          <cell r="B213"/>
          <cell r="C213"/>
        </row>
        <row r="214">
          <cell r="B214"/>
          <cell r="C214"/>
        </row>
        <row r="215">
          <cell r="B215"/>
          <cell r="C215"/>
        </row>
        <row r="216">
          <cell r="B216"/>
          <cell r="C216"/>
        </row>
        <row r="217">
          <cell r="B217"/>
          <cell r="C217"/>
        </row>
        <row r="218">
          <cell r="B218" t="str">
            <v>SUBESTACIÓN</v>
          </cell>
          <cell r="C218"/>
          <cell r="D218" t="str">
            <v>Estado</v>
          </cell>
        </row>
        <row r="219">
          <cell r="B219" t="str">
            <v>Objetos extraños</v>
          </cell>
          <cell r="C219"/>
          <cell r="D219" t="str">
            <v>OK</v>
          </cell>
        </row>
        <row r="220">
          <cell r="B220" t="str">
            <v>Filtraciones de agua</v>
          </cell>
          <cell r="C220"/>
          <cell r="D220" t="str">
            <v>OK</v>
          </cell>
        </row>
        <row r="221">
          <cell r="B221" t="str">
            <v>Tableros eléctricos</v>
          </cell>
          <cell r="C221"/>
          <cell r="D221" t="str">
            <v>OK</v>
          </cell>
        </row>
        <row r="222">
          <cell r="B222" t="str">
            <v>Bancos de 
condensadores</v>
          </cell>
          <cell r="C222"/>
          <cell r="D222" t="str">
            <v>OK</v>
          </cell>
        </row>
        <row r="224">
          <cell r="B224" t="str">
            <v>Comentarios:</v>
          </cell>
          <cell r="C224"/>
          <cell r="D224"/>
        </row>
        <row r="225">
          <cell r="B225"/>
          <cell r="C225"/>
          <cell r="D225"/>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row r="246">
          <cell r="D246"/>
        </row>
        <row r="247">
          <cell r="D247"/>
        </row>
        <row r="248">
          <cell r="D248"/>
        </row>
        <row r="249">
          <cell r="D249"/>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D263"/>
        </row>
        <row r="264">
          <cell r="D264"/>
        </row>
        <row r="265">
          <cell r="D265"/>
        </row>
        <row r="266">
          <cell r="D266"/>
        </row>
        <row r="267">
          <cell r="D267"/>
        </row>
        <row r="268">
          <cell r="D268"/>
        </row>
        <row r="269">
          <cell r="B269" t="str">
            <v>UPS</v>
          </cell>
          <cell r="C269"/>
          <cell r="D269" t="str">
            <v>Estado</v>
          </cell>
        </row>
        <row r="270">
          <cell r="B270" t="str">
            <v>UPS online</v>
          </cell>
          <cell r="C270"/>
          <cell r="D270" t="str">
            <v>OK</v>
          </cell>
        </row>
        <row r="271">
          <cell r="B271" t="str">
            <v>Aire acondicionado dedicado</v>
          </cell>
          <cell r="C271"/>
          <cell r="D271" t="str">
            <v>NO OK</v>
          </cell>
        </row>
        <row r="272">
          <cell r="B272" t="str">
            <v>Estado de carga de baterías</v>
          </cell>
          <cell r="C272"/>
          <cell r="D272" t="str">
            <v>OK</v>
          </cell>
        </row>
        <row r="274">
          <cell r="B274" t="str">
            <v>Comentarios:</v>
          </cell>
          <cell r="C274" t="str">
            <v>Rejilla caída. Colocar.</v>
          </cell>
          <cell r="D274"/>
        </row>
        <row r="275">
          <cell r="B275"/>
          <cell r="C275" t="str">
            <v>Cielorraso sobre UPS caído.</v>
          </cell>
          <cell r="D275"/>
        </row>
        <row r="276">
          <cell r="B276"/>
          <cell r="C276"/>
        </row>
        <row r="286">
          <cell r="B286" t="str">
            <v>3   GAS</v>
          </cell>
          <cell r="C286"/>
          <cell r="D286"/>
        </row>
        <row r="288">
          <cell r="B288" t="str">
            <v>GAS</v>
          </cell>
          <cell r="C288"/>
          <cell r="D288" t="str">
            <v>Estado</v>
          </cell>
        </row>
        <row r="289">
          <cell r="B289" t="str">
            <v>Flexibles autorizados</v>
          </cell>
          <cell r="C289"/>
          <cell r="D289" t="str">
            <v>OK</v>
          </cell>
        </row>
        <row r="290">
          <cell r="B290" t="str">
            <v>Sistema de corte por pánico</v>
          </cell>
          <cell r="C290"/>
          <cell r="D290" t="str">
            <v>NO OK</v>
          </cell>
        </row>
        <row r="292">
          <cell r="B292" t="str">
            <v>Comentarios:</v>
          </cell>
          <cell r="C292" t="str">
            <v>Tubería de gas en rotisería hacia fuegossin pintar.</v>
          </cell>
          <cell r="D292"/>
        </row>
        <row r="293">
          <cell r="B293"/>
          <cell r="C293" t="str">
            <v>Retirar materiales acopiados sobre nicho de garrafas de gas.</v>
          </cell>
          <cell r="D293"/>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4R762QY6GSEFF3L7OKIOLUSVLH">
      <xxl21:absoluteUrl r:id="rId2"/>
    </xxl21:alternateUrls>
    <sheetNames>
      <sheetName val="Informe"/>
    </sheetNames>
    <sheetDataSet>
      <sheetData sheetId="0">
        <row r="5">
          <cell r="B5" t="str">
            <v>SUCURSAL:</v>
          </cell>
          <cell r="C5" t="str">
            <v>DEVOTO 21</v>
          </cell>
        </row>
        <row r="6">
          <cell r="B6"/>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DV21_S_01</v>
          </cell>
          <cell r="C13">
            <v>2</v>
          </cell>
          <cell r="D13">
            <v>3</v>
          </cell>
        </row>
        <row r="14">
          <cell r="B14" t="str">
            <v>DV21_S_02</v>
          </cell>
          <cell r="C14">
            <v>2</v>
          </cell>
          <cell r="D14">
            <v>3</v>
          </cell>
        </row>
        <row r="15">
          <cell r="B15" t="str">
            <v>DV21_S_03</v>
          </cell>
          <cell r="C15">
            <v>2</v>
          </cell>
          <cell r="D15">
            <v>3</v>
          </cell>
        </row>
        <row r="16">
          <cell r="B16" t="str">
            <v>DV21_S_04</v>
          </cell>
          <cell r="C16">
            <v>2</v>
          </cell>
          <cell r="D16">
            <v>3</v>
          </cell>
        </row>
        <row r="17">
          <cell r="B17" t="str">
            <v>DV21_S_05</v>
          </cell>
          <cell r="C17">
            <v>2</v>
          </cell>
          <cell r="D17">
            <v>3</v>
          </cell>
        </row>
        <row r="18">
          <cell r="B18" t="str">
            <v>DV21_S_06</v>
          </cell>
          <cell r="C18">
            <v>2</v>
          </cell>
          <cell r="D18">
            <v>3</v>
          </cell>
        </row>
        <row r="19">
          <cell r="B19" t="str">
            <v>DV21_S_07</v>
          </cell>
          <cell r="C19">
            <v>2</v>
          </cell>
          <cell r="D19">
            <v>2</v>
          </cell>
        </row>
        <row r="20">
          <cell r="B20" t="str">
            <v>DV21_S_08</v>
          </cell>
          <cell r="C20">
            <v>2</v>
          </cell>
          <cell r="D20">
            <v>3</v>
          </cell>
        </row>
        <row r="21">
          <cell r="B21"/>
          <cell r="C21"/>
          <cell r="D21"/>
        </row>
        <row r="22">
          <cell r="B22" t="str">
            <v>Comentarios:</v>
          </cell>
          <cell r="C22"/>
          <cell r="D22"/>
        </row>
        <row r="23">
          <cell r="B23" t="str">
            <v>S_01 - S_08</v>
          </cell>
          <cell r="C23" t="str">
            <v>Rejillas en unidades interiores sucia. Limpiar.</v>
          </cell>
          <cell r="D23"/>
        </row>
        <row r="24">
          <cell r="B24" t="str">
            <v>S_01 - S_08</v>
          </cell>
          <cell r="C24" t="str">
            <v>Intercambiadores exteriores sucios. Limpiar.</v>
          </cell>
          <cell r="D24"/>
        </row>
        <row r="25">
          <cell r="B25" t="str">
            <v>S_02</v>
          </cell>
          <cell r="C25" t="str">
            <v xml:space="preserve">Rejilla en unidad interior rota. Reparar. </v>
          </cell>
          <cell r="D25"/>
        </row>
        <row r="26">
          <cell r="B26" t="str">
            <v>S_05</v>
          </cell>
          <cell r="C26" t="str">
            <v>Rejilla en unidad interior caída. Recolocar.</v>
          </cell>
          <cell r="D26"/>
        </row>
        <row r="27">
          <cell r="B27" t="str">
            <v>S_07</v>
          </cell>
          <cell r="C27" t="str">
            <v>Equipo fuera de plomo. Corregir.</v>
          </cell>
          <cell r="D27"/>
        </row>
        <row r="28">
          <cell r="B28" t="str">
            <v>S_08</v>
          </cell>
          <cell r="C28" t="str">
            <v>Intercambiador exterior presenta secciones congeladas.</v>
          </cell>
          <cell r="D28"/>
        </row>
        <row r="29">
          <cell r="B29"/>
          <cell r="C29"/>
          <cell r="D29"/>
        </row>
        <row r="30">
          <cell r="B30"/>
          <cell r="C30"/>
          <cell r="D30"/>
        </row>
        <row r="31">
          <cell r="B31"/>
          <cell r="C31"/>
          <cell r="D31"/>
        </row>
        <row r="32">
          <cell r="B32"/>
          <cell r="C32"/>
          <cell r="D32"/>
        </row>
        <row r="33">
          <cell r="B33"/>
          <cell r="C33"/>
          <cell r="D33"/>
        </row>
        <row r="34">
          <cell r="B34"/>
          <cell r="C34"/>
          <cell r="D34"/>
        </row>
        <row r="35">
          <cell r="B35"/>
          <cell r="C35"/>
          <cell r="D35"/>
        </row>
        <row r="36">
          <cell r="B36"/>
          <cell r="C36"/>
          <cell r="D36"/>
        </row>
        <row r="37">
          <cell r="B37"/>
          <cell r="C37"/>
          <cell r="D37"/>
        </row>
        <row r="38">
          <cell r="B38"/>
          <cell r="C38"/>
          <cell r="D38"/>
        </row>
        <row r="39">
          <cell r="B39"/>
          <cell r="C39"/>
          <cell r="D39"/>
        </row>
        <row r="40">
          <cell r="B40"/>
          <cell r="C40"/>
          <cell r="D40"/>
        </row>
        <row r="41">
          <cell r="B41"/>
          <cell r="C41"/>
          <cell r="D41"/>
        </row>
        <row r="42">
          <cell r="B42"/>
          <cell r="C42"/>
          <cell r="D42"/>
        </row>
        <row r="43">
          <cell r="B43"/>
          <cell r="C43"/>
          <cell r="D43"/>
        </row>
        <row r="44">
          <cell r="B44"/>
          <cell r="C44"/>
          <cell r="D44"/>
        </row>
        <row r="45">
          <cell r="B45"/>
          <cell r="C45"/>
          <cell r="D45"/>
        </row>
        <row r="46">
          <cell r="B46"/>
          <cell r="C46"/>
          <cell r="D46"/>
        </row>
        <row r="47">
          <cell r="B47"/>
          <cell r="C47"/>
          <cell r="D47"/>
        </row>
        <row r="48">
          <cell r="B48"/>
          <cell r="C48"/>
          <cell r="D48"/>
        </row>
        <row r="49">
          <cell r="B49"/>
          <cell r="C49"/>
          <cell r="D49"/>
        </row>
        <row r="50">
          <cell r="B50"/>
          <cell r="C50"/>
          <cell r="D50"/>
        </row>
        <row r="51">
          <cell r="B51"/>
          <cell r="C51"/>
          <cell r="D51"/>
        </row>
        <row r="52">
          <cell r="B52"/>
          <cell r="C52"/>
          <cell r="D52"/>
        </row>
        <row r="53">
          <cell r="B53"/>
          <cell r="C53"/>
          <cell r="D53"/>
        </row>
        <row r="54">
          <cell r="B54"/>
          <cell r="C54"/>
          <cell r="D54"/>
        </row>
        <row r="55">
          <cell r="B55"/>
          <cell r="C55"/>
          <cell r="D55"/>
        </row>
        <row r="57">
          <cell r="B57"/>
          <cell r="C57"/>
          <cell r="D57"/>
        </row>
        <row r="58">
          <cell r="B58"/>
          <cell r="C58"/>
          <cell r="D58"/>
        </row>
        <row r="59">
          <cell r="B59"/>
          <cell r="C59"/>
          <cell r="D59"/>
        </row>
        <row r="60">
          <cell r="B60"/>
          <cell r="C60"/>
        </row>
        <row r="61">
          <cell r="B61"/>
          <cell r="C61"/>
          <cell r="D61"/>
        </row>
        <row r="62">
          <cell r="B62"/>
          <cell r="C62"/>
          <cell r="D62"/>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cell r="C104"/>
          <cell r="D104"/>
        </row>
        <row r="105">
          <cell r="B105"/>
          <cell r="C105"/>
          <cell r="D105"/>
        </row>
        <row r="106">
          <cell r="B106"/>
          <cell r="C106"/>
          <cell r="D106"/>
        </row>
        <row r="107">
          <cell r="B107"/>
          <cell r="C107"/>
          <cell r="D107"/>
        </row>
        <row r="108">
          <cell r="B108"/>
          <cell r="C108"/>
          <cell r="D108"/>
        </row>
        <row r="109">
          <cell r="B109"/>
          <cell r="C109"/>
          <cell r="D109"/>
        </row>
        <row r="110">
          <cell r="B110"/>
          <cell r="C110"/>
          <cell r="D110"/>
        </row>
        <row r="111">
          <cell r="B111"/>
          <cell r="C111"/>
          <cell r="D111"/>
        </row>
        <row r="112">
          <cell r="B112"/>
          <cell r="C112"/>
          <cell r="D112"/>
        </row>
        <row r="113">
          <cell r="B113"/>
          <cell r="C113"/>
          <cell r="D113"/>
        </row>
        <row r="114">
          <cell r="B114"/>
          <cell r="C114"/>
          <cell r="D114"/>
        </row>
        <row r="115">
          <cell r="B115"/>
          <cell r="C115"/>
          <cell r="D115"/>
        </row>
        <row r="116">
          <cell r="B116"/>
          <cell r="C116"/>
          <cell r="D116"/>
        </row>
        <row r="117">
          <cell r="B117"/>
          <cell r="C117"/>
          <cell r="D117"/>
        </row>
        <row r="118">
          <cell r="B118"/>
          <cell r="C118"/>
          <cell r="D118"/>
        </row>
        <row r="119">
          <cell r="B119"/>
          <cell r="C119"/>
          <cell r="D119"/>
        </row>
        <row r="120">
          <cell r="B120"/>
          <cell r="C120"/>
          <cell r="D120"/>
        </row>
        <row r="121">
          <cell r="B121"/>
          <cell r="C121"/>
          <cell r="D121"/>
        </row>
        <row r="122">
          <cell r="B122"/>
          <cell r="C122"/>
          <cell r="D122"/>
        </row>
        <row r="123">
          <cell r="B123"/>
          <cell r="C123"/>
          <cell r="D123"/>
        </row>
        <row r="124">
          <cell r="B124"/>
          <cell r="C124"/>
          <cell r="D124"/>
        </row>
        <row r="125">
          <cell r="B125"/>
          <cell r="C125"/>
          <cell r="D125"/>
        </row>
        <row r="126">
          <cell r="B126"/>
          <cell r="C126"/>
          <cell r="D126"/>
        </row>
        <row r="127">
          <cell r="B127"/>
          <cell r="C127"/>
          <cell r="D127"/>
        </row>
        <row r="128">
          <cell r="B128"/>
          <cell r="C128"/>
          <cell r="D128"/>
        </row>
        <row r="129">
          <cell r="B129"/>
          <cell r="C129"/>
          <cell r="D129"/>
        </row>
        <row r="130">
          <cell r="B130"/>
          <cell r="C130"/>
          <cell r="D130"/>
        </row>
        <row r="131">
          <cell r="B131" t="str">
            <v>2   ELÉCTRICA</v>
          </cell>
          <cell r="C131"/>
          <cell r="D131"/>
        </row>
        <row r="133">
          <cell r="B133" t="str">
            <v>Código</v>
          </cell>
          <cell r="C133" t="str">
            <v>Estado</v>
          </cell>
          <cell r="D133" t="str">
            <v>Mantenimiento</v>
          </cell>
        </row>
        <row r="134">
          <cell r="B134" t="str">
            <v>Generador</v>
          </cell>
          <cell r="C134" t="str">
            <v>Generador</v>
          </cell>
          <cell r="D134" t="str">
            <v>Proveedor</v>
          </cell>
        </row>
        <row r="135">
          <cell r="B135" t="str">
            <v>DV21_G_01</v>
          </cell>
          <cell r="C135">
            <v>3</v>
          </cell>
          <cell r="D135">
            <v>3</v>
          </cell>
        </row>
        <row r="136">
          <cell r="B136"/>
          <cell r="C136"/>
          <cell r="D136"/>
        </row>
        <row r="137">
          <cell r="B137" t="str">
            <v>GENERADOR</v>
          </cell>
          <cell r="C137"/>
          <cell r="D137" t="str">
            <v>Estado</v>
          </cell>
        </row>
        <row r="138">
          <cell r="B138" t="str">
            <v xml:space="preserve">Tanque de combustible </v>
          </cell>
          <cell r="C138"/>
          <cell r="D138">
            <v>0.5</v>
          </cell>
        </row>
        <row r="139">
          <cell r="B139" t="str">
            <v>Batería</v>
          </cell>
          <cell r="C139"/>
          <cell r="D139" t="str">
            <v>OK</v>
          </cell>
        </row>
        <row r="140">
          <cell r="B140" t="str">
            <v>Liquido refrigerante</v>
          </cell>
          <cell r="C140"/>
          <cell r="D140" t="str">
            <v>OK</v>
          </cell>
        </row>
        <row r="141">
          <cell r="B141" t="str">
            <v>Aceite</v>
          </cell>
          <cell r="C141"/>
          <cell r="D141" t="str">
            <v>OK</v>
          </cell>
        </row>
        <row r="143">
          <cell r="B143" t="str">
            <v>Comentarios:</v>
          </cell>
          <cell r="C143"/>
          <cell r="D143"/>
        </row>
        <row r="187">
          <cell r="B187" t="str">
            <v>SUBESTACIÓN</v>
          </cell>
          <cell r="C187"/>
          <cell r="D187" t="str">
            <v>Estado</v>
          </cell>
        </row>
        <row r="188">
          <cell r="B188" t="str">
            <v>Objetos extraños</v>
          </cell>
          <cell r="C188"/>
          <cell r="D188" t="str">
            <v>OK</v>
          </cell>
        </row>
        <row r="189">
          <cell r="B189" t="str">
            <v>Filtraciones de agua</v>
          </cell>
          <cell r="C189"/>
          <cell r="D189" t="str">
            <v>OK</v>
          </cell>
        </row>
        <row r="190">
          <cell r="B190" t="str">
            <v>Tableros eléctricos</v>
          </cell>
          <cell r="C190"/>
          <cell r="D190" t="str">
            <v>OK</v>
          </cell>
        </row>
        <row r="191">
          <cell r="B191" t="str">
            <v>Bancos de 
condensadores</v>
          </cell>
          <cell r="C191"/>
          <cell r="D191" t="str">
            <v>OK</v>
          </cell>
        </row>
        <row r="192">
          <cell r="B192"/>
          <cell r="C192"/>
          <cell r="D192"/>
        </row>
        <row r="193">
          <cell r="B193" t="str">
            <v>Comentarios:</v>
          </cell>
          <cell r="C193" t="str">
            <v>Interruptor EATON a 40°C. Verificar.</v>
          </cell>
          <cell r="D193"/>
        </row>
        <row r="194">
          <cell r="B194"/>
          <cell r="C194"/>
          <cell r="D194"/>
        </row>
        <row r="195">
          <cell r="B195"/>
          <cell r="C195"/>
          <cell r="D195"/>
        </row>
        <row r="196">
          <cell r="B196"/>
          <cell r="C196"/>
          <cell r="D196"/>
        </row>
        <row r="197">
          <cell r="B197"/>
          <cell r="C197"/>
          <cell r="D197"/>
        </row>
        <row r="198">
          <cell r="B198"/>
          <cell r="C198"/>
          <cell r="D198"/>
        </row>
        <row r="199">
          <cell r="B199"/>
          <cell r="C199"/>
          <cell r="D199"/>
        </row>
        <row r="200">
          <cell r="B200"/>
          <cell r="C200"/>
          <cell r="D200"/>
        </row>
        <row r="201">
          <cell r="B201"/>
          <cell r="C201"/>
          <cell r="D201"/>
        </row>
        <row r="202">
          <cell r="B202"/>
          <cell r="C202"/>
          <cell r="D202"/>
        </row>
        <row r="203">
          <cell r="B203"/>
          <cell r="C203"/>
          <cell r="D203"/>
        </row>
        <row r="204">
          <cell r="B204"/>
          <cell r="C204"/>
          <cell r="D204"/>
        </row>
        <row r="205">
          <cell r="B205"/>
          <cell r="C205"/>
          <cell r="D205"/>
        </row>
        <row r="206">
          <cell r="B206"/>
          <cell r="C206"/>
          <cell r="D206"/>
        </row>
        <row r="207">
          <cell r="B207"/>
          <cell r="C207"/>
          <cell r="D207"/>
        </row>
        <row r="208">
          <cell r="B208"/>
          <cell r="C208"/>
          <cell r="D208"/>
        </row>
        <row r="209">
          <cell r="B209"/>
          <cell r="C209"/>
          <cell r="D209"/>
        </row>
        <row r="210">
          <cell r="B210"/>
          <cell r="C210"/>
          <cell r="D210"/>
        </row>
        <row r="211">
          <cell r="B211"/>
          <cell r="C211"/>
          <cell r="D211"/>
        </row>
        <row r="212">
          <cell r="B212"/>
          <cell r="C212"/>
          <cell r="D212"/>
        </row>
        <row r="213">
          <cell r="B213"/>
          <cell r="C213"/>
          <cell r="D213"/>
        </row>
        <row r="214">
          <cell r="B214"/>
          <cell r="C214"/>
          <cell r="D214"/>
        </row>
        <row r="215">
          <cell r="B215"/>
          <cell r="C215"/>
          <cell r="D215"/>
        </row>
        <row r="216">
          <cell r="B216"/>
          <cell r="C216"/>
          <cell r="D216"/>
        </row>
        <row r="217">
          <cell r="B217"/>
          <cell r="C217"/>
          <cell r="D217"/>
        </row>
        <row r="218">
          <cell r="B218"/>
          <cell r="C218"/>
          <cell r="D218"/>
        </row>
        <row r="219">
          <cell r="B219"/>
          <cell r="C219"/>
          <cell r="D219"/>
        </row>
        <row r="220">
          <cell r="B220"/>
          <cell r="C220"/>
          <cell r="D220"/>
        </row>
        <row r="221">
          <cell r="B221"/>
          <cell r="C221"/>
          <cell r="D221"/>
        </row>
        <row r="222">
          <cell r="B222"/>
          <cell r="C222"/>
          <cell r="D222"/>
        </row>
        <row r="223">
          <cell r="B223"/>
          <cell r="C223"/>
          <cell r="D223"/>
        </row>
        <row r="224">
          <cell r="B224"/>
          <cell r="C224"/>
          <cell r="D224"/>
        </row>
        <row r="225">
          <cell r="B225"/>
          <cell r="C225"/>
          <cell r="D225"/>
        </row>
        <row r="226">
          <cell r="B226"/>
          <cell r="C226"/>
          <cell r="D226"/>
        </row>
        <row r="227">
          <cell r="B227"/>
          <cell r="C227"/>
          <cell r="D227"/>
        </row>
        <row r="228">
          <cell r="B228"/>
          <cell r="C228"/>
          <cell r="D228"/>
        </row>
        <row r="229">
          <cell r="B229"/>
          <cell r="C229"/>
          <cell r="D229"/>
        </row>
        <row r="230">
          <cell r="B230"/>
          <cell r="C230"/>
          <cell r="D230"/>
        </row>
        <row r="231">
          <cell r="B231"/>
          <cell r="C231"/>
          <cell r="D231"/>
        </row>
        <row r="232">
          <cell r="B232"/>
          <cell r="C232"/>
          <cell r="D232"/>
        </row>
        <row r="233">
          <cell r="B233" t="str">
            <v>UPS</v>
          </cell>
          <cell r="C233"/>
          <cell r="D233" t="str">
            <v>Estado</v>
          </cell>
        </row>
        <row r="234">
          <cell r="B234" t="str">
            <v>UPS en línea</v>
          </cell>
          <cell r="C234"/>
          <cell r="D234" t="str">
            <v>OK</v>
          </cell>
        </row>
        <row r="235">
          <cell r="B235" t="str">
            <v>Aire acondicionado</v>
          </cell>
          <cell r="C235"/>
          <cell r="D235" t="str">
            <v>OK</v>
          </cell>
        </row>
        <row r="236">
          <cell r="B236" t="str">
            <v>Estado de carga de baterías</v>
          </cell>
          <cell r="C236"/>
          <cell r="D236" t="str">
            <v>OK</v>
          </cell>
        </row>
        <row r="237">
          <cell r="B237"/>
          <cell r="C237"/>
          <cell r="D237"/>
        </row>
        <row r="238">
          <cell r="B238"/>
          <cell r="C238"/>
          <cell r="D238"/>
        </row>
        <row r="239">
          <cell r="B239"/>
          <cell r="C239"/>
          <cell r="D239"/>
        </row>
        <row r="240">
          <cell r="B240"/>
          <cell r="C240"/>
          <cell r="D240"/>
        </row>
        <row r="241">
          <cell r="B241"/>
          <cell r="C241"/>
          <cell r="D241"/>
        </row>
        <row r="242">
          <cell r="B242"/>
          <cell r="C242"/>
          <cell r="D242"/>
        </row>
        <row r="243">
          <cell r="B243"/>
          <cell r="C243"/>
          <cell r="D243"/>
        </row>
        <row r="244">
          <cell r="B244"/>
          <cell r="C244"/>
          <cell r="D244"/>
        </row>
        <row r="245">
          <cell r="B245"/>
          <cell r="C245"/>
          <cell r="D245"/>
        </row>
        <row r="246">
          <cell r="B246" t="str">
            <v>3   GAS</v>
          </cell>
          <cell r="C246"/>
          <cell r="D246"/>
        </row>
        <row r="248">
          <cell r="B248" t="str">
            <v>GAS</v>
          </cell>
          <cell r="C248"/>
          <cell r="D248" t="str">
            <v>Estado</v>
          </cell>
        </row>
        <row r="249">
          <cell r="B249" t="str">
            <v>Flexibles autorizados</v>
          </cell>
          <cell r="C249"/>
          <cell r="D249" t="str">
            <v>OK</v>
          </cell>
        </row>
        <row r="250">
          <cell r="B250" t="str">
            <v>Sistema de corte por pánico</v>
          </cell>
          <cell r="C250"/>
          <cell r="D250" t="str">
            <v>OK</v>
          </cell>
        </row>
        <row r="252">
          <cell r="B252" t="str">
            <v>Comentarios:</v>
          </cell>
          <cell r="C252" t="str">
            <v>Repintar tramo de tubería de gas detrás de campana de rotisería. Presenta color oscuro.</v>
          </cell>
          <cell r="D252"/>
        </row>
        <row r="260">
          <cell r="B260"/>
          <cell r="C260"/>
          <cell r="D260"/>
        </row>
        <row r="261">
          <cell r="B261"/>
          <cell r="C261"/>
          <cell r="D261"/>
        </row>
        <row r="262">
          <cell r="B262"/>
          <cell r="C262"/>
          <cell r="D262"/>
        </row>
        <row r="263">
          <cell r="B263"/>
          <cell r="C263"/>
          <cell r="D263"/>
        </row>
        <row r="264">
          <cell r="B264"/>
          <cell r="C264"/>
          <cell r="D264"/>
        </row>
        <row r="265">
          <cell r="B265"/>
          <cell r="C265"/>
          <cell r="D265"/>
        </row>
        <row r="266">
          <cell r="B266"/>
          <cell r="C266"/>
          <cell r="D266"/>
        </row>
        <row r="267">
          <cell r="B267"/>
          <cell r="C267"/>
          <cell r="D267"/>
        </row>
        <row r="268">
          <cell r="B268"/>
          <cell r="C268"/>
          <cell r="D268"/>
        </row>
        <row r="275">
          <cell r="B275" t="str">
            <v>4  OBSERVACIONES GENERALES</v>
          </cell>
          <cell r="C275"/>
          <cell r="D275"/>
        </row>
        <row r="277">
          <cell r="B277" t="str">
            <v>Comentarios:</v>
          </cell>
          <cell r="C277" t="str">
            <v>Tanques de agua sin tapa. Controlar.</v>
          </cell>
          <cell r="D277"/>
        </row>
        <row r="293">
          <cell r="B293"/>
          <cell r="C293"/>
          <cell r="D293"/>
        </row>
        <row r="294">
          <cell r="B294"/>
          <cell r="C294"/>
          <cell r="D294"/>
        </row>
        <row r="295">
          <cell r="B295"/>
          <cell r="C295"/>
          <cell r="D295"/>
        </row>
        <row r="296">
          <cell r="B296"/>
          <cell r="C296"/>
          <cell r="D296"/>
        </row>
        <row r="297">
          <cell r="B297"/>
          <cell r="C297"/>
          <cell r="D297"/>
        </row>
        <row r="298">
          <cell r="B298"/>
          <cell r="C298"/>
          <cell r="D298"/>
        </row>
        <row r="299">
          <cell r="B299"/>
          <cell r="C299"/>
          <cell r="D299"/>
        </row>
        <row r="300">
          <cell r="B300"/>
          <cell r="C300"/>
          <cell r="D300"/>
        </row>
        <row r="301">
          <cell r="B301"/>
          <cell r="C301"/>
          <cell r="D301"/>
        </row>
        <row r="302">
          <cell r="B302"/>
          <cell r="C302"/>
          <cell r="D302"/>
        </row>
        <row r="303">
          <cell r="B303"/>
          <cell r="C303"/>
          <cell r="D303"/>
        </row>
        <row r="304">
          <cell r="B304"/>
          <cell r="C304"/>
          <cell r="D304"/>
        </row>
        <row r="305">
          <cell r="B305"/>
          <cell r="C305"/>
          <cell r="D305"/>
        </row>
        <row r="306">
          <cell r="B306"/>
          <cell r="C306"/>
          <cell r="D306"/>
        </row>
        <row r="307">
          <cell r="B307"/>
          <cell r="C307"/>
          <cell r="D307"/>
        </row>
        <row r="308">
          <cell r="B308"/>
          <cell r="C308"/>
          <cell r="D308"/>
        </row>
        <row r="309">
          <cell r="B309"/>
          <cell r="C309"/>
          <cell r="D309"/>
        </row>
        <row r="310">
          <cell r="B310"/>
          <cell r="C310"/>
          <cell r="D310"/>
        </row>
        <row r="311">
          <cell r="B311"/>
          <cell r="C311"/>
          <cell r="D311"/>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HJ6LEBWBZGNHZNSYIXRKPGEUY">
      <xxl21:absoluteUrl r:id="rId2"/>
    </xxl21:alternateUrls>
    <sheetNames>
      <sheetName val="Informe"/>
    </sheetNames>
    <sheetDataSet>
      <sheetData sheetId="0">
        <row r="5">
          <cell r="B5" t="str">
            <v>SUCURSAL:</v>
          </cell>
          <cell r="C5" t="str">
            <v>DEVOTO 22</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DV22_CH_01</v>
          </cell>
          <cell r="C13">
            <v>2</v>
          </cell>
          <cell r="D13">
            <v>2</v>
          </cell>
        </row>
        <row r="14">
          <cell r="B14" t="str">
            <v>DV22_M_01</v>
          </cell>
          <cell r="C14">
            <v>2</v>
          </cell>
          <cell r="D14">
            <v>2</v>
          </cell>
        </row>
        <row r="15">
          <cell r="B15" t="str">
            <v>DV22_M_02</v>
          </cell>
          <cell r="C15">
            <v>2</v>
          </cell>
          <cell r="D15">
            <v>2</v>
          </cell>
        </row>
        <row r="16">
          <cell r="B16" t="str">
            <v>DV22_M_03</v>
          </cell>
          <cell r="C16">
            <v>2</v>
          </cell>
          <cell r="D16">
            <v>2</v>
          </cell>
        </row>
        <row r="17">
          <cell r="B17" t="str">
            <v>DV22_S_01</v>
          </cell>
          <cell r="C17">
            <v>2</v>
          </cell>
          <cell r="D17">
            <v>3</v>
          </cell>
        </row>
        <row r="18">
          <cell r="B18" t="str">
            <v>DV22_S_02</v>
          </cell>
          <cell r="C18">
            <v>2</v>
          </cell>
          <cell r="D18">
            <v>2</v>
          </cell>
        </row>
        <row r="19">
          <cell r="B19" t="str">
            <v>DV22_S_03</v>
          </cell>
          <cell r="C19">
            <v>2</v>
          </cell>
          <cell r="D19">
            <v>2</v>
          </cell>
        </row>
        <row r="20">
          <cell r="B20" t="str">
            <v>DV22_S_04</v>
          </cell>
          <cell r="C20">
            <v>2</v>
          </cell>
          <cell r="D20">
            <v>3</v>
          </cell>
        </row>
        <row r="21">
          <cell r="B21" t="str">
            <v>DV22_S_05</v>
          </cell>
          <cell r="C21">
            <v>2</v>
          </cell>
          <cell r="D21">
            <v>3</v>
          </cell>
        </row>
        <row r="22">
          <cell r="B22" t="str">
            <v>PE_S_01</v>
          </cell>
          <cell r="C22">
            <v>2</v>
          </cell>
          <cell r="D22">
            <v>2</v>
          </cell>
        </row>
        <row r="23">
          <cell r="B23" t="str">
            <v>PE_S_02</v>
          </cell>
          <cell r="C23">
            <v>2</v>
          </cell>
          <cell r="D23">
            <v>3</v>
          </cell>
        </row>
        <row r="24">
          <cell r="B24" t="str">
            <v>PE_S_03</v>
          </cell>
          <cell r="C24">
            <v>2</v>
          </cell>
          <cell r="D24">
            <v>2</v>
          </cell>
        </row>
        <row r="25">
          <cell r="D25"/>
        </row>
        <row r="26">
          <cell r="B26" t="str">
            <v>Comentarios:</v>
          </cell>
          <cell r="C26" t="str">
            <v>Se renombraron los equipos en función al relevamiento de los equipos de AA.</v>
          </cell>
          <cell r="D26"/>
        </row>
        <row r="27">
          <cell r="B27"/>
          <cell r="C27" t="str">
            <v>Todas las unidades exteriores split presentan intercambiadores sucios. Limpiar.</v>
          </cell>
          <cell r="D27"/>
        </row>
        <row r="28">
          <cell r="B28" t="str">
            <v>DV22_S_05</v>
          </cell>
          <cell r="C28" t="str">
            <v>Rejillas sucias y caídas. Limpiar y reparar.</v>
          </cell>
          <cell r="D28"/>
        </row>
        <row r="29">
          <cell r="B29" t="str">
            <v>DV22_S_03</v>
          </cell>
          <cell r="C29" t="str">
            <v>Intercambiador exterior muy sucio. Limpiar.</v>
          </cell>
          <cell r="D29"/>
        </row>
        <row r="30">
          <cell r="B30" t="str">
            <v>DV22_S_03</v>
          </cell>
          <cell r="C30" t="str">
            <v>Ducto presenta pérdidas. Controlar.</v>
          </cell>
          <cell r="D30"/>
        </row>
        <row r="31">
          <cell r="B31" t="str">
            <v xml:space="preserve">CH_01 </v>
          </cell>
          <cell r="C31" t="str">
            <v>Ambas torres de enfriamiento presentan avanzado estado de oxidación. Continúa.</v>
          </cell>
          <cell r="D31"/>
        </row>
        <row r="32">
          <cell r="B32" t="str">
            <v xml:space="preserve">CH_01 </v>
          </cell>
          <cell r="C32" t="str">
            <v>Unión de torres de enfriamiento reparada con film stretch.</v>
          </cell>
          <cell r="D32"/>
        </row>
        <row r="33">
          <cell r="B33" t="str">
            <v xml:space="preserve">CH_01 </v>
          </cell>
          <cell r="C33" t="str">
            <v>Fuelle roto y ajustado con film stretch.</v>
          </cell>
          <cell r="D33"/>
        </row>
        <row r="34">
          <cell r="B34" t="str">
            <v xml:space="preserve">CH_01 </v>
          </cell>
          <cell r="C34" t="str">
            <v>Vástago de válvula en tubería de conexión a bomba en torre 2 roto. Reparar.</v>
          </cell>
          <cell r="D34"/>
        </row>
        <row r="35">
          <cell r="B35" t="str">
            <v>PE_S_01/03</v>
          </cell>
          <cell r="C35" t="str">
            <v>Rejillas sucias y caídas. Limpiar y reparar.</v>
          </cell>
          <cell r="D35"/>
        </row>
        <row r="36">
          <cell r="B36"/>
          <cell r="C36"/>
          <cell r="D36"/>
        </row>
        <row r="37">
          <cell r="B37"/>
          <cell r="C37"/>
          <cell r="D37"/>
        </row>
        <row r="38">
          <cell r="B38"/>
          <cell r="C38"/>
          <cell r="D38"/>
        </row>
        <row r="39">
          <cell r="B39"/>
          <cell r="C39"/>
          <cell r="D39"/>
        </row>
        <row r="40">
          <cell r="B40"/>
          <cell r="C40"/>
          <cell r="D40"/>
        </row>
        <row r="41">
          <cell r="B41"/>
          <cell r="C41"/>
          <cell r="D41"/>
        </row>
        <row r="42">
          <cell r="B42"/>
          <cell r="C42"/>
          <cell r="D42"/>
        </row>
        <row r="43">
          <cell r="B43"/>
          <cell r="C43"/>
          <cell r="D43"/>
        </row>
        <row r="44">
          <cell r="B44"/>
          <cell r="C44"/>
          <cell r="D44"/>
        </row>
        <row r="45">
          <cell r="B45"/>
          <cell r="C45"/>
          <cell r="D45"/>
        </row>
        <row r="46">
          <cell r="B46"/>
          <cell r="C46"/>
          <cell r="D46"/>
        </row>
        <row r="47">
          <cell r="B47"/>
          <cell r="C47"/>
          <cell r="D47"/>
        </row>
        <row r="48">
          <cell r="B48"/>
          <cell r="C48"/>
          <cell r="D48"/>
        </row>
        <row r="49">
          <cell r="B49"/>
          <cell r="C49"/>
          <cell r="D49"/>
        </row>
        <row r="50">
          <cell r="B50"/>
          <cell r="C50"/>
          <cell r="D50"/>
        </row>
        <row r="51">
          <cell r="B51"/>
          <cell r="C51"/>
          <cell r="D51"/>
        </row>
        <row r="52">
          <cell r="B52"/>
          <cell r="C52"/>
          <cell r="D52"/>
        </row>
        <row r="53">
          <cell r="B53"/>
          <cell r="C53"/>
          <cell r="D53"/>
        </row>
        <row r="54">
          <cell r="B54"/>
          <cell r="C54"/>
          <cell r="D54"/>
        </row>
        <row r="55">
          <cell r="B55"/>
          <cell r="C55"/>
          <cell r="D55"/>
        </row>
        <row r="56">
          <cell r="B56"/>
          <cell r="C56"/>
          <cell r="D56"/>
        </row>
        <row r="57">
          <cell r="B57"/>
          <cell r="C57"/>
          <cell r="D57"/>
        </row>
        <row r="58">
          <cell r="B58"/>
          <cell r="C58"/>
          <cell r="D58"/>
        </row>
        <row r="59">
          <cell r="B59"/>
          <cell r="C59"/>
          <cell r="D59"/>
        </row>
        <row r="60">
          <cell r="B60"/>
          <cell r="C60"/>
          <cell r="D60"/>
        </row>
        <row r="61">
          <cell r="B61"/>
          <cell r="C61"/>
          <cell r="D61"/>
        </row>
        <row r="62">
          <cell r="B62"/>
          <cell r="C62"/>
          <cell r="D62"/>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229">
          <cell r="B229" t="str">
            <v>2   ELÉCTRICA</v>
          </cell>
          <cell r="C229"/>
          <cell r="D229"/>
        </row>
        <row r="231">
          <cell r="B231" t="str">
            <v>Código</v>
          </cell>
          <cell r="C231" t="str">
            <v>Estado</v>
          </cell>
          <cell r="D231" t="str">
            <v>Mantenimiento</v>
          </cell>
        </row>
        <row r="232">
          <cell r="B232" t="str">
            <v>Generador</v>
          </cell>
          <cell r="C232" t="str">
            <v>Generador</v>
          </cell>
          <cell r="D232" t="str">
            <v>Proveedor</v>
          </cell>
        </row>
        <row r="233">
          <cell r="B233" t="str">
            <v>DV22_G_01</v>
          </cell>
          <cell r="C233">
            <v>3</v>
          </cell>
          <cell r="D233">
            <v>3</v>
          </cell>
        </row>
        <row r="234">
          <cell r="B234"/>
          <cell r="C234"/>
        </row>
        <row r="235">
          <cell r="B235" t="str">
            <v>GENERADOR</v>
          </cell>
          <cell r="C235"/>
          <cell r="D235" t="str">
            <v>Estado</v>
          </cell>
        </row>
        <row r="236">
          <cell r="B236" t="str">
            <v>Tanque de combustible</v>
          </cell>
          <cell r="C236"/>
          <cell r="D236">
            <v>0.7</v>
          </cell>
        </row>
        <row r="237">
          <cell r="B237" t="str">
            <v>Batería</v>
          </cell>
          <cell r="C237"/>
          <cell r="D237" t="str">
            <v>OK</v>
          </cell>
        </row>
        <row r="238">
          <cell r="B238" t="str">
            <v>Liquido refrigerante</v>
          </cell>
          <cell r="C238"/>
          <cell r="D238" t="str">
            <v>OK</v>
          </cell>
        </row>
        <row r="239">
          <cell r="B239" t="str">
            <v>Aceite</v>
          </cell>
          <cell r="C239"/>
          <cell r="D239" t="str">
            <v>OK</v>
          </cell>
        </row>
        <row r="262">
          <cell r="B262" t="str">
            <v>SUBESTACIÓN</v>
          </cell>
          <cell r="C262"/>
          <cell r="D262" t="str">
            <v>Estado</v>
          </cell>
        </row>
        <row r="263">
          <cell r="B263" t="str">
            <v>Objetos extraños</v>
          </cell>
          <cell r="C263"/>
          <cell r="D263" t="str">
            <v>NO OK</v>
          </cell>
        </row>
        <row r="264">
          <cell r="B264" t="str">
            <v>Filtraciones de agua</v>
          </cell>
          <cell r="C264"/>
          <cell r="D264" t="str">
            <v>OK</v>
          </cell>
        </row>
        <row r="265">
          <cell r="B265" t="str">
            <v>Tableros eléctricos</v>
          </cell>
          <cell r="C265"/>
          <cell r="D265" t="str">
            <v>OK</v>
          </cell>
        </row>
        <row r="266">
          <cell r="B266" t="str">
            <v>Bancos de 
condensadores</v>
          </cell>
          <cell r="C266"/>
          <cell r="D266" t="str">
            <v>NO OK</v>
          </cell>
        </row>
        <row r="267">
          <cell r="D267"/>
        </row>
        <row r="268">
          <cell r="B268" t="str">
            <v>Comentarios:</v>
          </cell>
          <cell r="C268" t="str">
            <v>Acometida superior izquierda de llave MERLIN GERIN en tablero "A" se encuentra a 45°C. Verificar.</v>
          </cell>
          <cell r="D268"/>
        </row>
        <row r="269">
          <cell r="D269"/>
        </row>
        <row r="270">
          <cell r="D270"/>
        </row>
        <row r="271">
          <cell r="D271"/>
        </row>
        <row r="272">
          <cell r="D272"/>
        </row>
        <row r="273">
          <cell r="D273"/>
        </row>
        <row r="274">
          <cell r="D274"/>
        </row>
        <row r="275">
          <cell r="D275"/>
        </row>
        <row r="276">
          <cell r="D276"/>
        </row>
        <row r="277">
          <cell r="D277"/>
        </row>
        <row r="278">
          <cell r="D278"/>
        </row>
        <row r="279">
          <cell r="D279"/>
        </row>
        <row r="280">
          <cell r="D280"/>
        </row>
        <row r="281">
          <cell r="D281"/>
        </row>
        <row r="282">
          <cell r="D282"/>
        </row>
        <row r="283">
          <cell r="D283"/>
        </row>
        <row r="284">
          <cell r="D284"/>
        </row>
        <row r="285">
          <cell r="D285"/>
        </row>
        <row r="286">
          <cell r="D286"/>
        </row>
        <row r="287">
          <cell r="D287"/>
        </row>
        <row r="288">
          <cell r="D288"/>
        </row>
        <row r="289">
          <cell r="D289"/>
        </row>
        <row r="290">
          <cell r="D290"/>
        </row>
        <row r="291">
          <cell r="D291"/>
        </row>
        <row r="292">
          <cell r="D292"/>
        </row>
        <row r="293">
          <cell r="D293"/>
        </row>
        <row r="294">
          <cell r="D294"/>
        </row>
        <row r="295">
          <cell r="D295"/>
        </row>
        <row r="296">
          <cell r="D296"/>
        </row>
        <row r="297">
          <cell r="D297"/>
        </row>
        <row r="298">
          <cell r="D298"/>
        </row>
        <row r="299">
          <cell r="D299"/>
        </row>
        <row r="300">
          <cell r="D300"/>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IJAUHRLWB4NBIYP4UXMLCADUW">
      <xxl21:absoluteUrl r:id="rId2"/>
    </xxl21:alternateUrls>
    <sheetNames>
      <sheetName val="Informe"/>
      <sheetName val="Hoja1"/>
    </sheetNames>
    <sheetDataSet>
      <sheetData sheetId="0">
        <row r="5">
          <cell r="B5" t="str">
            <v>SUCURSAL:</v>
          </cell>
          <cell r="C5" t="str">
            <v>DEVOTO 23</v>
          </cell>
        </row>
        <row r="7">
          <cell r="B7" t="str">
            <v>1   AIRE ACONDICIONADO</v>
          </cell>
          <cell r="C7"/>
          <cell r="D7"/>
        </row>
        <row r="9">
          <cell r="B9" t="str">
            <v>CD/CI_x000D_
Sucursal</v>
          </cell>
          <cell r="C9">
            <v>0.39655172413793105</v>
          </cell>
        </row>
        <row r="11">
          <cell r="B11" t="str">
            <v>Código</v>
          </cell>
          <cell r="C11"/>
          <cell r="D11" t="str">
            <v>Estado del equipo</v>
          </cell>
        </row>
        <row r="12">
          <cell r="B12" t="str">
            <v>Equipo</v>
          </cell>
          <cell r="C12" t="str">
            <v>Intercambiadores</v>
          </cell>
          <cell r="D12" t="str">
            <v>Gabinete</v>
          </cell>
        </row>
        <row r="13">
          <cell r="B13" t="str">
            <v>DV23_CH_01</v>
          </cell>
          <cell r="C13">
            <v>2</v>
          </cell>
          <cell r="D13">
            <v>2</v>
          </cell>
        </row>
        <row r="14">
          <cell r="B14" t="str">
            <v>DV23_CH_02</v>
          </cell>
          <cell r="C14">
            <v>2</v>
          </cell>
          <cell r="D14">
            <v>2</v>
          </cell>
        </row>
        <row r="15">
          <cell r="B15" t="str">
            <v>DV23_M_01</v>
          </cell>
          <cell r="C15">
            <v>2</v>
          </cell>
          <cell r="D15">
            <v>2</v>
          </cell>
        </row>
        <row r="16">
          <cell r="B16" t="str">
            <v>DV23_M_02</v>
          </cell>
          <cell r="C16">
            <v>2</v>
          </cell>
          <cell r="D16">
            <v>2</v>
          </cell>
        </row>
        <row r="17">
          <cell r="B17" t="str">
            <v>DV23_S_01</v>
          </cell>
          <cell r="C17">
            <v>3</v>
          </cell>
          <cell r="D17">
            <v>3</v>
          </cell>
        </row>
        <row r="18">
          <cell r="B18" t="str">
            <v>DV23_S_02</v>
          </cell>
          <cell r="C18">
            <v>3</v>
          </cell>
          <cell r="D18">
            <v>3</v>
          </cell>
        </row>
        <row r="19">
          <cell r="B19" t="str">
            <v>DV23_S_03</v>
          </cell>
          <cell r="C19">
            <v>3</v>
          </cell>
          <cell r="D19">
            <v>3</v>
          </cell>
        </row>
        <row r="20">
          <cell r="B20" t="str">
            <v>DV23_S_04</v>
          </cell>
          <cell r="C20">
            <v>3</v>
          </cell>
          <cell r="D20">
            <v>3</v>
          </cell>
        </row>
        <row r="21">
          <cell r="B21" t="str">
            <v>DV23_S_05</v>
          </cell>
          <cell r="C21">
            <v>3</v>
          </cell>
          <cell r="D21">
            <v>3</v>
          </cell>
        </row>
        <row r="22">
          <cell r="D22"/>
        </row>
        <row r="23">
          <cell r="B23" t="str">
            <v>Comentarios:</v>
          </cell>
          <cell r="C23" t="str">
            <v>M_02</v>
          </cell>
          <cell r="D23" t="str">
            <v>Equipo fuera de servicio.</v>
          </cell>
        </row>
        <row r="24">
          <cell r="B24"/>
          <cell r="C24" t="str">
            <v>S_04/S_05</v>
          </cell>
          <cell r="D24" t="str">
            <v>Rejillas en unidades interiores sucias. Limpiar.</v>
          </cell>
        </row>
        <row r="25">
          <cell r="B25" t="str">
            <v>CH_02</v>
          </cell>
          <cell r="C25" t="str">
            <v>Circuito N°2 se encuentra fuera de servicio</v>
          </cell>
          <cell r="D25"/>
        </row>
        <row r="26">
          <cell r="B26" t="str">
            <v>CH_02</v>
          </cell>
          <cell r="C26" t="str">
            <v>Guatas tiradas y filtros sucios.</v>
          </cell>
          <cell r="D26"/>
        </row>
        <row r="27">
          <cell r="B27" t="str">
            <v>CH_01</v>
          </cell>
          <cell r="C27" t="str">
            <v>Filtros sucios.</v>
          </cell>
          <cell r="D27"/>
        </row>
        <row r="28">
          <cell r="B28"/>
        </row>
        <row r="29">
          <cell r="B29"/>
        </row>
        <row r="30">
          <cell r="B30"/>
        </row>
        <row r="31">
          <cell r="B31"/>
          <cell r="D31"/>
        </row>
        <row r="33">
          <cell r="B33"/>
        </row>
        <row r="34">
          <cell r="B34"/>
        </row>
        <row r="35">
          <cell r="B35"/>
        </row>
        <row r="36">
          <cell r="B36"/>
        </row>
        <row r="37">
          <cell r="B37"/>
        </row>
        <row r="64">
          <cell r="B64"/>
          <cell r="C64"/>
        </row>
        <row r="65">
          <cell r="B65"/>
          <cell r="C65"/>
        </row>
        <row r="66">
          <cell r="B66"/>
          <cell r="C66"/>
        </row>
        <row r="68">
          <cell r="B68"/>
          <cell r="C68"/>
        </row>
        <row r="69">
          <cell r="B69"/>
          <cell r="C69"/>
        </row>
        <row r="70">
          <cell r="B70"/>
          <cell r="C70"/>
        </row>
        <row r="71">
          <cell r="B71"/>
          <cell r="C71"/>
        </row>
        <row r="72">
          <cell r="B72"/>
          <cell r="C72"/>
        </row>
        <row r="73">
          <cell r="B73"/>
          <cell r="C73"/>
        </row>
        <row r="74">
          <cell r="B74"/>
          <cell r="C74"/>
        </row>
        <row r="75">
          <cell r="B75"/>
          <cell r="C75"/>
        </row>
        <row r="76">
          <cell r="B76"/>
          <cell r="C76"/>
        </row>
        <row r="77">
          <cell r="B77"/>
          <cell r="C77"/>
        </row>
        <row r="78">
          <cell r="B78"/>
          <cell r="C78"/>
        </row>
        <row r="79">
          <cell r="B79"/>
          <cell r="C79"/>
        </row>
        <row r="80">
          <cell r="B80"/>
          <cell r="C80"/>
        </row>
        <row r="81">
          <cell r="B81"/>
          <cell r="C81"/>
        </row>
        <row r="82">
          <cell r="B82"/>
          <cell r="C82"/>
        </row>
        <row r="83">
          <cell r="B83"/>
          <cell r="C83"/>
        </row>
        <row r="84">
          <cell r="B84"/>
          <cell r="C84"/>
        </row>
        <row r="85">
          <cell r="B85"/>
          <cell r="C85"/>
        </row>
        <row r="86">
          <cell r="B86"/>
          <cell r="C86"/>
        </row>
        <row r="87">
          <cell r="B87"/>
          <cell r="C87"/>
        </row>
        <row r="88">
          <cell r="B88"/>
          <cell r="C88"/>
        </row>
        <row r="89">
          <cell r="B89"/>
          <cell r="C89"/>
        </row>
        <row r="90">
          <cell r="B90"/>
          <cell r="C90"/>
        </row>
        <row r="91">
          <cell r="B91"/>
          <cell r="C91"/>
        </row>
        <row r="92">
          <cell r="B92"/>
          <cell r="C92"/>
        </row>
        <row r="93">
          <cell r="B93"/>
          <cell r="C93"/>
        </row>
        <row r="94">
          <cell r="B94"/>
          <cell r="C94"/>
        </row>
        <row r="95">
          <cell r="B95"/>
          <cell r="C95"/>
        </row>
        <row r="96">
          <cell r="B96"/>
          <cell r="C96"/>
        </row>
        <row r="97">
          <cell r="B97"/>
          <cell r="C97"/>
        </row>
        <row r="98">
          <cell r="B98"/>
          <cell r="C98"/>
        </row>
        <row r="99">
          <cell r="B99"/>
          <cell r="C99"/>
        </row>
        <row r="100">
          <cell r="B100"/>
          <cell r="C100"/>
        </row>
        <row r="101">
          <cell r="B101"/>
          <cell r="C101"/>
        </row>
        <row r="102">
          <cell r="B102"/>
          <cell r="C102"/>
        </row>
        <row r="103">
          <cell r="B103"/>
          <cell r="C103"/>
        </row>
        <row r="104">
          <cell r="B104"/>
          <cell r="C104"/>
        </row>
        <row r="105">
          <cell r="B105"/>
          <cell r="C105"/>
        </row>
        <row r="106">
          <cell r="B106"/>
          <cell r="C106"/>
        </row>
        <row r="107">
          <cell r="B107"/>
          <cell r="C107"/>
        </row>
        <row r="108">
          <cell r="B108"/>
          <cell r="C108"/>
        </row>
        <row r="109">
          <cell r="B109"/>
          <cell r="C109"/>
        </row>
        <row r="110">
          <cell r="B110"/>
          <cell r="C110"/>
        </row>
        <row r="111">
          <cell r="B111"/>
          <cell r="C111"/>
        </row>
        <row r="112">
          <cell r="B112"/>
          <cell r="C112"/>
        </row>
        <row r="113">
          <cell r="B113"/>
          <cell r="C113"/>
        </row>
        <row r="114">
          <cell r="B114"/>
          <cell r="C114"/>
        </row>
        <row r="115">
          <cell r="B115"/>
          <cell r="C115"/>
        </row>
        <row r="116">
          <cell r="B116"/>
          <cell r="C116"/>
        </row>
        <row r="117">
          <cell r="B117"/>
          <cell r="C117"/>
        </row>
        <row r="118">
          <cell r="B118"/>
          <cell r="C118"/>
        </row>
        <row r="119">
          <cell r="B119"/>
          <cell r="C119"/>
        </row>
        <row r="120">
          <cell r="B120"/>
          <cell r="C120"/>
        </row>
        <row r="121">
          <cell r="B121"/>
          <cell r="C121"/>
        </row>
        <row r="122">
          <cell r="B122"/>
          <cell r="C122"/>
        </row>
        <row r="123">
          <cell r="B123"/>
          <cell r="C123"/>
        </row>
        <row r="124">
          <cell r="B124"/>
          <cell r="C124"/>
        </row>
        <row r="125">
          <cell r="B125"/>
          <cell r="C125"/>
        </row>
        <row r="126">
          <cell r="B126"/>
          <cell r="C126"/>
        </row>
        <row r="127">
          <cell r="B127"/>
          <cell r="C127"/>
        </row>
        <row r="128">
          <cell r="B128"/>
          <cell r="C128"/>
        </row>
        <row r="129">
          <cell r="B129"/>
          <cell r="C129"/>
        </row>
        <row r="130">
          <cell r="B130"/>
          <cell r="C130"/>
        </row>
        <row r="131">
          <cell r="B131"/>
          <cell r="C131"/>
        </row>
        <row r="132">
          <cell r="B132"/>
          <cell r="C132"/>
        </row>
        <row r="133">
          <cell r="B133"/>
          <cell r="C133"/>
        </row>
        <row r="134">
          <cell r="B134"/>
          <cell r="C134"/>
        </row>
        <row r="135">
          <cell r="B135"/>
          <cell r="C135"/>
        </row>
        <row r="136">
          <cell r="B136"/>
          <cell r="C136"/>
        </row>
        <row r="137">
          <cell r="B137"/>
          <cell r="C137"/>
        </row>
        <row r="138">
          <cell r="B138"/>
          <cell r="C138"/>
        </row>
        <row r="139">
          <cell r="B139"/>
          <cell r="C139"/>
        </row>
        <row r="140">
          <cell r="B140"/>
          <cell r="C140"/>
        </row>
        <row r="141">
          <cell r="B141"/>
          <cell r="C141"/>
        </row>
        <row r="142">
          <cell r="B142"/>
          <cell r="C142"/>
        </row>
        <row r="143">
          <cell r="B143"/>
          <cell r="C143"/>
        </row>
        <row r="144">
          <cell r="B144"/>
          <cell r="C144"/>
        </row>
        <row r="145">
          <cell r="B145"/>
          <cell r="C145"/>
        </row>
        <row r="146">
          <cell r="B146"/>
          <cell r="C146"/>
        </row>
        <row r="147">
          <cell r="B147"/>
          <cell r="C147"/>
        </row>
        <row r="148">
          <cell r="B148"/>
          <cell r="C148"/>
        </row>
        <row r="149">
          <cell r="B149"/>
          <cell r="C149"/>
        </row>
        <row r="150">
          <cell r="B150"/>
          <cell r="C150"/>
        </row>
        <row r="151">
          <cell r="B151"/>
          <cell r="C151"/>
        </row>
        <row r="152">
          <cell r="B152"/>
          <cell r="C152"/>
        </row>
        <row r="153">
          <cell r="B153"/>
          <cell r="C153"/>
        </row>
        <row r="154">
          <cell r="B154"/>
          <cell r="C154"/>
        </row>
        <row r="155">
          <cell r="B155"/>
          <cell r="C155"/>
        </row>
        <row r="156">
          <cell r="B156"/>
          <cell r="C156"/>
        </row>
        <row r="157">
          <cell r="B157"/>
          <cell r="C157"/>
        </row>
        <row r="158">
          <cell r="B158"/>
          <cell r="C158"/>
        </row>
        <row r="159">
          <cell r="B159"/>
          <cell r="C159"/>
        </row>
        <row r="160">
          <cell r="B160"/>
          <cell r="C160"/>
        </row>
        <row r="161">
          <cell r="B161"/>
          <cell r="C161"/>
        </row>
        <row r="162">
          <cell r="B162" t="str">
            <v>2   ELÉCTRICA</v>
          </cell>
          <cell r="C162"/>
          <cell r="D162"/>
        </row>
        <row r="164">
          <cell r="B164" t="str">
            <v>Código</v>
          </cell>
          <cell r="C164" t="str">
            <v>Estado</v>
          </cell>
          <cell r="D164" t="str">
            <v>Mantenimiento</v>
          </cell>
        </row>
        <row r="165">
          <cell r="B165" t="str">
            <v>Generador</v>
          </cell>
          <cell r="C165" t="str">
            <v>Generador</v>
          </cell>
          <cell r="D165" t="str">
            <v>Proveedor</v>
          </cell>
        </row>
        <row r="166">
          <cell r="B166" t="str">
            <v>DV23_G_01</v>
          </cell>
          <cell r="C166">
            <v>3</v>
          </cell>
          <cell r="D166">
            <v>2</v>
          </cell>
        </row>
        <row r="168">
          <cell r="B168" t="str">
            <v>GENERADOR</v>
          </cell>
          <cell r="C168"/>
          <cell r="D168" t="str">
            <v>Estado</v>
          </cell>
        </row>
        <row r="169">
          <cell r="B169" t="str">
            <v>Tanque de Combustible</v>
          </cell>
          <cell r="C169"/>
          <cell r="D169" t="str">
            <v>-</v>
          </cell>
        </row>
        <row r="170">
          <cell r="B170" t="str">
            <v>Batería</v>
          </cell>
          <cell r="C170"/>
          <cell r="D170" t="str">
            <v>OK</v>
          </cell>
        </row>
        <row r="171">
          <cell r="B171" t="str">
            <v>Liquido refrigerante</v>
          </cell>
          <cell r="C171"/>
          <cell r="D171" t="str">
            <v>OK</v>
          </cell>
        </row>
        <row r="172">
          <cell r="B172" t="str">
            <v>Aceite</v>
          </cell>
          <cell r="C172"/>
          <cell r="D172" t="str">
            <v>OK</v>
          </cell>
        </row>
        <row r="173">
          <cell r="D173"/>
        </row>
        <row r="174">
          <cell r="B174" t="str">
            <v>Comentarios:</v>
          </cell>
          <cell r="C174" t="str">
            <v>Ultimo registro de voltaje en planilla Enero 2026.</v>
          </cell>
          <cell r="D174"/>
        </row>
        <row r="178">
          <cell r="B178"/>
          <cell r="C178"/>
          <cell r="D178"/>
        </row>
        <row r="179">
          <cell r="C179"/>
          <cell r="D179"/>
        </row>
        <row r="180">
          <cell r="D180"/>
        </row>
        <row r="181">
          <cell r="D181"/>
        </row>
        <row r="182">
          <cell r="D182"/>
        </row>
        <row r="194">
          <cell r="B194"/>
        </row>
        <row r="195">
          <cell r="B195"/>
        </row>
        <row r="196">
          <cell r="B196"/>
        </row>
        <row r="197">
          <cell r="B197"/>
        </row>
        <row r="198">
          <cell r="B198"/>
        </row>
        <row r="199">
          <cell r="B199"/>
        </row>
        <row r="200">
          <cell r="B200"/>
        </row>
        <row r="201">
          <cell r="B201"/>
        </row>
        <row r="202">
          <cell r="B202"/>
        </row>
        <row r="203">
          <cell r="B203"/>
        </row>
        <row r="204">
          <cell r="B204"/>
        </row>
        <row r="205">
          <cell r="B205"/>
        </row>
        <row r="206">
          <cell r="B206"/>
        </row>
        <row r="207">
          <cell r="B207"/>
        </row>
        <row r="208">
          <cell r="B208"/>
        </row>
        <row r="209">
          <cell r="B209"/>
        </row>
        <row r="210">
          <cell r="B210"/>
        </row>
        <row r="211">
          <cell r="B211"/>
        </row>
        <row r="212">
          <cell r="B212" t="str">
            <v>SUBESTACIÓN</v>
          </cell>
          <cell r="C212"/>
          <cell r="D212" t="str">
            <v>Estado</v>
          </cell>
        </row>
        <row r="213">
          <cell r="B213" t="str">
            <v>Objetos extraños</v>
          </cell>
          <cell r="C213"/>
          <cell r="D213" t="str">
            <v>OK</v>
          </cell>
        </row>
        <row r="214">
          <cell r="B214" t="str">
            <v>Filtraciones de agua</v>
          </cell>
          <cell r="C214"/>
          <cell r="D214" t="str">
            <v>OK</v>
          </cell>
        </row>
        <row r="215">
          <cell r="B215" t="str">
            <v>Tableros eléctricos</v>
          </cell>
          <cell r="C215"/>
          <cell r="D215" t="str">
            <v>OK</v>
          </cell>
        </row>
        <row r="216">
          <cell r="B216" t="str">
            <v>Bancos de _x000D_condensadores</v>
          </cell>
          <cell r="C216"/>
          <cell r="D216" t="str">
            <v>OK</v>
          </cell>
        </row>
        <row r="217">
          <cell r="D217"/>
        </row>
        <row r="218">
          <cell r="B218" t="str">
            <v>Comentarios:</v>
          </cell>
          <cell r="C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row r="246">
          <cell r="D246"/>
        </row>
        <row r="247">
          <cell r="D247"/>
        </row>
        <row r="248">
          <cell r="D248"/>
        </row>
        <row r="249">
          <cell r="D249"/>
        </row>
        <row r="250">
          <cell r="D250"/>
        </row>
        <row r="251">
          <cell r="D251"/>
        </row>
        <row r="252">
          <cell r="D252"/>
        </row>
        <row r="253">
          <cell r="D253"/>
        </row>
        <row r="254">
          <cell r="D254"/>
        </row>
        <row r="255">
          <cell r="D255"/>
        </row>
        <row r="256">
          <cell r="D256"/>
        </row>
        <row r="257">
          <cell r="D257"/>
        </row>
        <row r="258">
          <cell r="B258" t="str">
            <v>UPS</v>
          </cell>
          <cell r="C258"/>
          <cell r="D258" t="str">
            <v>Estado</v>
          </cell>
        </row>
        <row r="259">
          <cell r="B259" t="str">
            <v>UPS en línea</v>
          </cell>
          <cell r="C259"/>
          <cell r="D259" t="str">
            <v>OK</v>
          </cell>
        </row>
        <row r="260">
          <cell r="B260" t="str">
            <v>Aire acondicionado dedicado</v>
          </cell>
          <cell r="C260"/>
          <cell r="D260" t="str">
            <v>OK</v>
          </cell>
        </row>
        <row r="261">
          <cell r="B261" t="str">
            <v>Estado de carga de baterías</v>
          </cell>
          <cell r="C261"/>
          <cell r="D261" t="str">
            <v>OK</v>
          </cell>
        </row>
        <row r="262">
          <cell r="C262"/>
          <cell r="D262"/>
        </row>
        <row r="263">
          <cell r="B263" t="str">
            <v>Comentarios:</v>
          </cell>
          <cell r="C263"/>
          <cell r="D263"/>
        </row>
        <row r="264">
          <cell r="B264"/>
          <cell r="C264"/>
        </row>
        <row r="278">
          <cell r="B278" t="str">
            <v>3   GAS</v>
          </cell>
          <cell r="C278"/>
          <cell r="D278"/>
        </row>
        <row r="280">
          <cell r="B280" t="str">
            <v>GAS</v>
          </cell>
          <cell r="C280"/>
          <cell r="D280" t="str">
            <v>Estado</v>
          </cell>
        </row>
        <row r="281">
          <cell r="B281" t="str">
            <v>Flexibles autorizados</v>
          </cell>
          <cell r="C281"/>
          <cell r="D281" t="str">
            <v>OK</v>
          </cell>
        </row>
        <row r="282">
          <cell r="B282" t="str">
            <v>Sistema de corte por pánico</v>
          </cell>
          <cell r="C282"/>
          <cell r="D282" t="str">
            <v>OK</v>
          </cell>
        </row>
        <row r="284">
          <cell r="B284" t="str">
            <v>Comentarios:</v>
          </cell>
          <cell r="C284" t="str">
            <v>Tubería de gas hacia caldereta continúa apoyada sobre ducto de M_01 y otros materiales. Regularizar.</v>
          </cell>
          <cell r="D284"/>
        </row>
      </sheetData>
      <sheetData sheetId="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3M7EP642YPG5GIA2VIUFMJGJY5">
      <xxl21:absoluteUrl r:id="rId2"/>
    </xxl21:alternateUrls>
    <sheetNames>
      <sheetName val="Informe"/>
      <sheetName val="ROOFTOP"/>
      <sheetName val="MINISPLITS"/>
    </sheetNames>
    <sheetDataSet>
      <sheetData sheetId="0">
        <row r="5">
          <cell r="B5" t="str">
            <v>SUCURSAL:</v>
          </cell>
          <cell r="C5" t="str">
            <v>DEVOTO 24</v>
          </cell>
        </row>
        <row r="7">
          <cell r="B7" t="str">
            <v>1   AIRE ACONDICIONADO</v>
          </cell>
          <cell r="C7"/>
          <cell r="D7"/>
        </row>
        <row r="9">
          <cell r="B9" t="str">
            <v>CD/CI
Sucursal</v>
          </cell>
          <cell r="C9">
            <v>1</v>
          </cell>
        </row>
        <row r="11">
          <cell r="B11" t="str">
            <v>Código</v>
          </cell>
          <cell r="C11"/>
          <cell r="D11" t="str">
            <v>Estado del equipo</v>
          </cell>
        </row>
        <row r="12">
          <cell r="B12" t="str">
            <v>Equipo</v>
          </cell>
          <cell r="C12" t="str">
            <v>Intercambiadores</v>
          </cell>
          <cell r="D12" t="str">
            <v>Gabinete</v>
          </cell>
        </row>
        <row r="13">
          <cell r="B13" t="str">
            <v>DV24_R_01</v>
          </cell>
          <cell r="C13">
            <v>2</v>
          </cell>
          <cell r="D13">
            <v>2</v>
          </cell>
        </row>
        <row r="14">
          <cell r="B14" t="str">
            <v>DV24_R_02</v>
          </cell>
          <cell r="C14">
            <v>2</v>
          </cell>
          <cell r="D14">
            <v>2</v>
          </cell>
        </row>
        <row r="15">
          <cell r="B15" t="str">
            <v>DV24_R_03</v>
          </cell>
          <cell r="C15">
            <v>2</v>
          </cell>
          <cell r="D15">
            <v>2</v>
          </cell>
        </row>
        <row r="16">
          <cell r="B16" t="str">
            <v>DV24_R_04</v>
          </cell>
          <cell r="C16">
            <v>2</v>
          </cell>
          <cell r="D16">
            <v>2</v>
          </cell>
        </row>
        <row r="17">
          <cell r="B17" t="str">
            <v>DV24_S_01</v>
          </cell>
          <cell r="C17">
            <v>3</v>
          </cell>
          <cell r="D17">
            <v>3</v>
          </cell>
        </row>
        <row r="18">
          <cell r="B18" t="str">
            <v>DV24_S_02</v>
          </cell>
          <cell r="C18">
            <v>2</v>
          </cell>
          <cell r="D18">
            <v>2</v>
          </cell>
        </row>
        <row r="19">
          <cell r="B19"/>
        </row>
        <row r="20">
          <cell r="B20" t="str">
            <v>Comentarios:</v>
          </cell>
          <cell r="C20" t="str">
            <v>R_02</v>
          </cell>
          <cell r="D20" t="str">
            <v>Tapa acceso a filtros sin tornillos.</v>
          </cell>
        </row>
        <row r="21">
          <cell r="B21"/>
          <cell r="C21" t="str">
            <v>R_04</v>
          </cell>
          <cell r="D21" t="str">
            <v xml:space="preserve">Correa cuarteada. </v>
          </cell>
        </row>
        <row r="22">
          <cell r="B22"/>
        </row>
        <row r="23">
          <cell r="B23"/>
        </row>
        <row r="41">
          <cell r="B41"/>
          <cell r="C41"/>
          <cell r="D41"/>
        </row>
        <row r="42">
          <cell r="B42"/>
          <cell r="C42"/>
          <cell r="D42"/>
        </row>
        <row r="43">
          <cell r="B43"/>
          <cell r="C43"/>
          <cell r="D43"/>
        </row>
        <row r="44">
          <cell r="B44"/>
          <cell r="C44"/>
          <cell r="D44"/>
        </row>
        <row r="45">
          <cell r="B45"/>
          <cell r="C45"/>
          <cell r="D45"/>
        </row>
        <row r="46">
          <cell r="B46"/>
          <cell r="C46"/>
          <cell r="D46"/>
        </row>
        <row r="47">
          <cell r="B47"/>
          <cell r="C47"/>
          <cell r="D47"/>
        </row>
        <row r="48">
          <cell r="B48"/>
          <cell r="C48"/>
        </row>
        <row r="49">
          <cell r="B49"/>
          <cell r="C49"/>
          <cell r="D49"/>
        </row>
        <row r="50">
          <cell r="B50"/>
          <cell r="C50"/>
          <cell r="D50"/>
        </row>
        <row r="51">
          <cell r="B51"/>
          <cell r="C51"/>
          <cell r="D51"/>
        </row>
        <row r="52">
          <cell r="B52"/>
          <cell r="C52"/>
          <cell r="D52"/>
        </row>
        <row r="53">
          <cell r="B53"/>
          <cell r="C53"/>
          <cell r="D53"/>
        </row>
        <row r="54">
          <cell r="B54"/>
          <cell r="C54"/>
          <cell r="D54"/>
        </row>
        <row r="55">
          <cell r="B55"/>
          <cell r="C55"/>
          <cell r="D55"/>
        </row>
        <row r="56">
          <cell r="B56"/>
          <cell r="C56"/>
          <cell r="D56"/>
        </row>
        <row r="57">
          <cell r="B57"/>
          <cell r="C57"/>
          <cell r="D57"/>
        </row>
        <row r="58">
          <cell r="B58"/>
          <cell r="C58"/>
          <cell r="D58"/>
        </row>
        <row r="59">
          <cell r="B59"/>
          <cell r="C59"/>
          <cell r="D59"/>
        </row>
        <row r="60">
          <cell r="B60"/>
          <cell r="C60"/>
          <cell r="D60"/>
        </row>
        <row r="61">
          <cell r="B61"/>
          <cell r="C61"/>
          <cell r="D61"/>
        </row>
        <row r="62">
          <cell r="B62"/>
          <cell r="C62"/>
          <cell r="D62"/>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129">
          <cell r="B129" t="str">
            <v>2   ELÉCTRICA</v>
          </cell>
          <cell r="C129"/>
          <cell r="D129"/>
        </row>
        <row r="131">
          <cell r="B131" t="str">
            <v>Código</v>
          </cell>
          <cell r="C131" t="str">
            <v>Estado</v>
          </cell>
          <cell r="D131" t="str">
            <v>Mantenimiento</v>
          </cell>
        </row>
        <row r="132">
          <cell r="B132" t="str">
            <v>Generador</v>
          </cell>
          <cell r="C132" t="str">
            <v>Generador</v>
          </cell>
          <cell r="D132" t="str">
            <v>Proveedor</v>
          </cell>
        </row>
        <row r="133">
          <cell r="B133" t="str">
            <v>DV24_G_01</v>
          </cell>
          <cell r="C133">
            <v>2</v>
          </cell>
          <cell r="D133">
            <v>3</v>
          </cell>
        </row>
        <row r="135">
          <cell r="B135" t="str">
            <v>GENERADOR</v>
          </cell>
          <cell r="C135"/>
          <cell r="D135" t="str">
            <v>Estado</v>
          </cell>
        </row>
        <row r="136">
          <cell r="B136" t="str">
            <v>Tanque de Combustible</v>
          </cell>
          <cell r="C136"/>
          <cell r="D136">
            <v>0.9</v>
          </cell>
        </row>
        <row r="137">
          <cell r="B137" t="str">
            <v>Batería</v>
          </cell>
          <cell r="C137"/>
          <cell r="D137" t="str">
            <v>OK</v>
          </cell>
        </row>
        <row r="138">
          <cell r="B138" t="str">
            <v>Liquido Refrigerante</v>
          </cell>
          <cell r="C138"/>
          <cell r="D138" t="str">
            <v>NO OK</v>
          </cell>
        </row>
        <row r="139">
          <cell r="B139" t="str">
            <v>Lubricante</v>
          </cell>
          <cell r="C139"/>
          <cell r="D139" t="str">
            <v>OK</v>
          </cell>
        </row>
        <row r="140">
          <cell r="B140"/>
          <cell r="C140"/>
          <cell r="D140"/>
        </row>
        <row r="142">
          <cell r="B142"/>
          <cell r="C142"/>
          <cell r="D142"/>
        </row>
        <row r="143">
          <cell r="B143"/>
          <cell r="C143"/>
          <cell r="D143"/>
        </row>
        <row r="144">
          <cell r="B144"/>
          <cell r="C144"/>
          <cell r="D144"/>
        </row>
        <row r="145">
          <cell r="B145"/>
          <cell r="C145"/>
          <cell r="D145"/>
        </row>
        <row r="146">
          <cell r="B146"/>
          <cell r="C146"/>
          <cell r="D146"/>
        </row>
        <row r="147">
          <cell r="B147"/>
          <cell r="C147"/>
          <cell r="D147"/>
        </row>
        <row r="148">
          <cell r="B148"/>
          <cell r="C148"/>
          <cell r="D148"/>
        </row>
        <row r="149">
          <cell r="B149"/>
          <cell r="C149"/>
          <cell r="D149"/>
        </row>
        <row r="150">
          <cell r="B150"/>
          <cell r="C150"/>
          <cell r="D150"/>
        </row>
        <row r="151">
          <cell r="B151"/>
          <cell r="C151"/>
          <cell r="D151"/>
        </row>
        <row r="152">
          <cell r="B152"/>
          <cell r="C152"/>
          <cell r="D152"/>
        </row>
        <row r="153">
          <cell r="B153"/>
          <cell r="C153"/>
          <cell r="D153"/>
        </row>
        <row r="154">
          <cell r="B154"/>
          <cell r="C154"/>
          <cell r="D154"/>
        </row>
        <row r="155">
          <cell r="B155"/>
          <cell r="C155"/>
          <cell r="D155"/>
        </row>
        <row r="156">
          <cell r="B156"/>
          <cell r="C156"/>
          <cell r="D156"/>
        </row>
        <row r="157">
          <cell r="B157"/>
          <cell r="C157"/>
          <cell r="D157"/>
        </row>
        <row r="158">
          <cell r="B158"/>
          <cell r="C158"/>
          <cell r="D158"/>
        </row>
        <row r="159">
          <cell r="B159"/>
          <cell r="C159"/>
          <cell r="D159"/>
        </row>
        <row r="160">
          <cell r="B160"/>
          <cell r="C160"/>
          <cell r="D160"/>
        </row>
        <row r="161">
          <cell r="B161"/>
          <cell r="C161"/>
          <cell r="D161"/>
        </row>
        <row r="162">
          <cell r="B162"/>
          <cell r="C162"/>
          <cell r="D162"/>
        </row>
        <row r="163">
          <cell r="B163"/>
          <cell r="C163"/>
          <cell r="D163"/>
        </row>
        <row r="164">
          <cell r="B164"/>
          <cell r="C164"/>
          <cell r="D164"/>
        </row>
        <row r="165">
          <cell r="B165"/>
          <cell r="C165"/>
          <cell r="D165"/>
        </row>
        <row r="166">
          <cell r="B166"/>
          <cell r="C166"/>
          <cell r="D166"/>
        </row>
        <row r="167">
          <cell r="B167"/>
          <cell r="C167"/>
          <cell r="D167"/>
        </row>
        <row r="168">
          <cell r="B168"/>
          <cell r="C168"/>
          <cell r="D168"/>
        </row>
        <row r="169">
          <cell r="B169"/>
          <cell r="C169"/>
          <cell r="D169"/>
        </row>
        <row r="170">
          <cell r="B170"/>
          <cell r="C170"/>
          <cell r="D170"/>
        </row>
        <row r="171">
          <cell r="B171"/>
          <cell r="C171"/>
          <cell r="D171"/>
        </row>
        <row r="172">
          <cell r="B172"/>
          <cell r="C172"/>
          <cell r="D172"/>
        </row>
        <row r="173">
          <cell r="B173"/>
          <cell r="C173"/>
          <cell r="D173"/>
        </row>
        <row r="174">
          <cell r="B174"/>
          <cell r="C174"/>
          <cell r="D174"/>
        </row>
        <row r="175">
          <cell r="B175"/>
          <cell r="C175"/>
          <cell r="D175"/>
        </row>
        <row r="176">
          <cell r="B176"/>
          <cell r="C176"/>
          <cell r="D176"/>
        </row>
        <row r="177">
          <cell r="B177" t="str">
            <v>SUBESTACIÓN</v>
          </cell>
          <cell r="C177"/>
          <cell r="D177" t="str">
            <v>Estado</v>
          </cell>
        </row>
        <row r="178">
          <cell r="B178" t="str">
            <v>Objetos extraños</v>
          </cell>
          <cell r="C178"/>
          <cell r="D178" t="str">
            <v>OK</v>
          </cell>
        </row>
        <row r="179">
          <cell r="B179" t="str">
            <v>Filtraciones de agua</v>
          </cell>
          <cell r="C179"/>
          <cell r="D179" t="str">
            <v>OK</v>
          </cell>
        </row>
        <row r="180">
          <cell r="B180" t="str">
            <v>Tableros eléctricos</v>
          </cell>
          <cell r="C180"/>
          <cell r="D180" t="str">
            <v>OK</v>
          </cell>
        </row>
        <row r="181">
          <cell r="B181" t="str">
            <v>Bancos de 
condensadores</v>
          </cell>
          <cell r="C181"/>
          <cell r="D181" t="str">
            <v>NO OK</v>
          </cell>
        </row>
        <row r="182">
          <cell r="D182"/>
        </row>
        <row r="183">
          <cell r="B183" t="str">
            <v>Comentarios:</v>
          </cell>
          <cell r="C183" t="str">
            <v>Factor de potencia fuera de rango. Controlar</v>
          </cell>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B225" t="str">
            <v>UPS</v>
          </cell>
          <cell r="C225"/>
          <cell r="D225" t="str">
            <v>Estado</v>
          </cell>
        </row>
        <row r="226">
          <cell r="B226" t="str">
            <v>UPS en linea</v>
          </cell>
          <cell r="C226"/>
          <cell r="D226" t="str">
            <v>OK</v>
          </cell>
        </row>
        <row r="227">
          <cell r="B227" t="str">
            <v>Aire acondicionado dedicado</v>
          </cell>
          <cell r="C227"/>
          <cell r="D227" t="str">
            <v>OK</v>
          </cell>
        </row>
        <row r="228">
          <cell r="B228" t="str">
            <v>Estado de carga de baterías</v>
          </cell>
          <cell r="C228"/>
          <cell r="D228" t="str">
            <v>OK</v>
          </cell>
        </row>
        <row r="229">
          <cell r="B229"/>
          <cell r="C229"/>
        </row>
        <row r="230">
          <cell r="B230" t="str">
            <v>Comentarios:</v>
          </cell>
          <cell r="C230"/>
          <cell r="D230"/>
        </row>
        <row r="231">
          <cell r="B231"/>
        </row>
        <row r="232">
          <cell r="B232"/>
        </row>
        <row r="233">
          <cell r="B233"/>
        </row>
        <row r="234">
          <cell r="B234"/>
        </row>
        <row r="235">
          <cell r="B235"/>
        </row>
        <row r="242">
          <cell r="B242" t="str">
            <v>3   GAS</v>
          </cell>
          <cell r="C242"/>
          <cell r="D242"/>
        </row>
        <row r="244">
          <cell r="B244" t="str">
            <v>GAS</v>
          </cell>
          <cell r="C244"/>
          <cell r="D244" t="str">
            <v>Estado</v>
          </cell>
        </row>
        <row r="245">
          <cell r="B245" t="str">
            <v>Flexibles autorizados</v>
          </cell>
          <cell r="C245"/>
          <cell r="D245" t="str">
            <v>OK</v>
          </cell>
        </row>
        <row r="246">
          <cell r="B246" t="str">
            <v>Sistema de corte por pánico</v>
          </cell>
          <cell r="C246"/>
          <cell r="D246" t="str">
            <v>OK</v>
          </cell>
        </row>
        <row r="247">
          <cell r="B247"/>
          <cell r="C247"/>
        </row>
        <row r="248">
          <cell r="B248" t="str">
            <v>Comentarios:</v>
          </cell>
          <cell r="C248"/>
          <cell r="D248"/>
        </row>
        <row r="249">
          <cell r="B249"/>
        </row>
        <row r="250">
          <cell r="B250"/>
        </row>
        <row r="251">
          <cell r="B251"/>
        </row>
        <row r="252">
          <cell r="B252"/>
        </row>
        <row r="253">
          <cell r="B253"/>
        </row>
        <row r="254">
          <cell r="B254"/>
        </row>
        <row r="255">
          <cell r="B255"/>
        </row>
        <row r="256">
          <cell r="B256"/>
        </row>
        <row r="257">
          <cell r="B257"/>
        </row>
        <row r="258">
          <cell r="B258"/>
        </row>
        <row r="259">
          <cell r="B259"/>
        </row>
        <row r="260">
          <cell r="B260"/>
        </row>
        <row r="261">
          <cell r="B261" t="str">
            <v>5 OBSERVACIONES GENERALES</v>
          </cell>
          <cell r="C261"/>
          <cell r="D261"/>
        </row>
        <row r="262">
          <cell r="B262"/>
        </row>
        <row r="263">
          <cell r="B263" t="str">
            <v>Comentarios:</v>
          </cell>
          <cell r="C263" t="str">
            <v>En salon placa cielorraso con roturas, losa techo serrucho hierros a la vista.</v>
          </cell>
          <cell r="D263"/>
        </row>
        <row r="264">
          <cell r="B264"/>
          <cell r="C264" t="str">
            <v>Pretil lateral de la cubierta del lucernario con revoques desprendidos. 
Los restos caídos obstaculizan el descenso.</v>
          </cell>
          <cell r="D264"/>
        </row>
        <row r="265">
          <cell r="B265"/>
        </row>
        <row r="266">
          <cell r="B266"/>
        </row>
        <row r="267">
          <cell r="B267"/>
        </row>
        <row r="268">
          <cell r="B268"/>
        </row>
        <row r="269">
          <cell r="B269"/>
        </row>
        <row r="270">
          <cell r="B270"/>
        </row>
        <row r="271">
          <cell r="B271"/>
        </row>
        <row r="272">
          <cell r="B272"/>
        </row>
        <row r="273">
          <cell r="B273"/>
        </row>
        <row r="274">
          <cell r="B274"/>
        </row>
        <row r="275">
          <cell r="B275"/>
        </row>
        <row r="276">
          <cell r="B276"/>
        </row>
      </sheetData>
      <sheetData sheetId="1"/>
      <sheetData sheetId="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z2HBnvuskaYNSfeQvHDYmSyw7vSHjRNjVB0ggoWTMECRLYsqMfkQ7Zq-V5cDtvn" itemId="01OOPUPH76QG6QSEIWTNE22YGPXESE6ROA">
      <xxl21:absoluteUrl r:id="rId2"/>
    </xxl21:alternateUrls>
    <sheetNames>
      <sheetName val="Informe"/>
      <sheetName val="SPLITS"/>
      <sheetName val="MINISPLITS"/>
    </sheetNames>
    <sheetDataSet>
      <sheetData sheetId="0">
        <row r="5">
          <cell r="B5" t="str">
            <v>SUCURSAL:</v>
          </cell>
          <cell r="C5" t="str">
            <v>DEVOTO 25</v>
          </cell>
          <cell r="D5"/>
        </row>
        <row r="7">
          <cell r="B7" t="str">
            <v>1   AIRE ACONDICIONADO</v>
          </cell>
          <cell r="C7"/>
          <cell r="D7"/>
        </row>
        <row r="9">
          <cell r="B9" t="str">
            <v>CD/CI
Sucursal</v>
          </cell>
          <cell r="C9">
            <v>0.8125</v>
          </cell>
        </row>
        <row r="11">
          <cell r="B11" t="str">
            <v>Código</v>
          </cell>
          <cell r="C11"/>
          <cell r="D11" t="str">
            <v>Estado del equipo</v>
          </cell>
        </row>
        <row r="12">
          <cell r="B12" t="str">
            <v>Equipo</v>
          </cell>
          <cell r="C12" t="str">
            <v>Intercambiadores</v>
          </cell>
          <cell r="D12" t="str">
            <v>Gabinete</v>
          </cell>
        </row>
        <row r="13">
          <cell r="B13" t="str">
            <v>DV25_S_01 /Hisense</v>
          </cell>
          <cell r="C13">
            <v>3</v>
          </cell>
          <cell r="D13">
            <v>3</v>
          </cell>
        </row>
        <row r="14">
          <cell r="B14" t="str">
            <v>DV25_S_02 /Airway</v>
          </cell>
          <cell r="C14">
            <v>3</v>
          </cell>
          <cell r="D14">
            <v>3</v>
          </cell>
        </row>
        <row r="15">
          <cell r="B15" t="str">
            <v>DV25_S_03 /Airway</v>
          </cell>
          <cell r="C15">
            <v>3</v>
          </cell>
          <cell r="D15">
            <v>3</v>
          </cell>
        </row>
        <row r="16">
          <cell r="B16" t="str">
            <v>DV25_S_04 /Hisense</v>
          </cell>
          <cell r="C16">
            <v>3</v>
          </cell>
          <cell r="D16">
            <v>3</v>
          </cell>
        </row>
        <row r="17">
          <cell r="B17" t="str">
            <v>DV25_S_05 /Gree</v>
          </cell>
          <cell r="C17">
            <v>3</v>
          </cell>
          <cell r="D17">
            <v>3</v>
          </cell>
        </row>
        <row r="18">
          <cell r="B18" t="str">
            <v>DV25_S_06 /Hisense</v>
          </cell>
          <cell r="C18">
            <v>3</v>
          </cell>
          <cell r="D18">
            <v>3</v>
          </cell>
        </row>
        <row r="19">
          <cell r="B19" t="str">
            <v>DV25_S_07 /Airway</v>
          </cell>
          <cell r="C19">
            <v>2</v>
          </cell>
          <cell r="D19">
            <v>2</v>
          </cell>
        </row>
        <row r="20">
          <cell r="B20" t="str">
            <v>DV25_S_08 /Airway</v>
          </cell>
          <cell r="C20">
            <v>2</v>
          </cell>
          <cell r="D20">
            <v>2</v>
          </cell>
        </row>
        <row r="21">
          <cell r="B21" t="str">
            <v>DV25_S_09 /Hisense</v>
          </cell>
          <cell r="C21">
            <v>3</v>
          </cell>
          <cell r="D21">
            <v>3</v>
          </cell>
        </row>
        <row r="22">
          <cell r="D22"/>
        </row>
        <row r="23">
          <cell r="B23" t="str">
            <v>Comentarios:</v>
          </cell>
          <cell r="C23" t="str">
            <v>Retirar unidades exteriores fuera de uso en cubierta de recepción y frente a generador.</v>
          </cell>
          <cell r="D23"/>
        </row>
        <row r="24">
          <cell r="B24"/>
          <cell r="C24" t="str">
            <v>Instalación eléctrica de UTE apoyada sobre perfil de hierro en cubierta frente a generador. Continúa.</v>
          </cell>
          <cell r="D24"/>
        </row>
        <row r="25">
          <cell r="B25"/>
          <cell r="C25" t="str">
            <v>Regularizar y canalizar conductores eléctricos en cubierta frente a generador.</v>
          </cell>
          <cell r="D25"/>
        </row>
        <row r="26">
          <cell r="B26"/>
          <cell r="C26" t="str">
            <v>Se agregó un nuevo equipo de 60.000 BTU/hr</v>
          </cell>
          <cell r="D26"/>
        </row>
        <row r="27">
          <cell r="B27" t="str">
            <v>S_01 a S_09</v>
          </cell>
          <cell r="C27" t="str">
            <v>Rejillas en unidades interiores sucias.</v>
          </cell>
          <cell r="D27"/>
        </row>
        <row r="28">
          <cell r="B28" t="str">
            <v>S_01</v>
          </cell>
          <cell r="C28" t="str">
            <v>Tapa cobertora de ductos en unidad exterior salida. Colocar.</v>
          </cell>
          <cell r="D28"/>
        </row>
        <row r="29">
          <cell r="B29" t="str">
            <v>S_03</v>
          </cell>
          <cell r="C29" t="str">
            <v>Se cambió equipo SPLIT por un Airway nuevo.</v>
          </cell>
          <cell r="D29"/>
        </row>
        <row r="30">
          <cell r="B30" t="str">
            <v>S_05</v>
          </cell>
          <cell r="C30" t="str">
            <v>Unidad instalada, falta conexión eléctrica, desagüe y vacío.</v>
          </cell>
          <cell r="D30"/>
        </row>
        <row r="31">
          <cell r="B31" t="str">
            <v>S_06</v>
          </cell>
          <cell r="C31" t="str">
            <v>Intercambiador exterior muy sucio. Limpiar.</v>
          </cell>
          <cell r="D31"/>
        </row>
        <row r="32">
          <cell r="B32" t="str">
            <v>S_06</v>
          </cell>
          <cell r="C32" t="str">
            <v>Retirar elementos acopiados sobre equipo y proteger unidad exterior.</v>
          </cell>
          <cell r="D32"/>
        </row>
        <row r="33">
          <cell r="B33" t="str">
            <v>S_07</v>
          </cell>
          <cell r="C33" t="str">
            <v>Falta un ventilador.</v>
          </cell>
          <cell r="D33"/>
        </row>
        <row r="34">
          <cell r="B34"/>
        </row>
        <row r="35">
          <cell r="B35"/>
        </row>
        <row r="36">
          <cell r="B36"/>
        </row>
        <row r="37">
          <cell r="B37"/>
        </row>
        <row r="38">
          <cell r="B38"/>
        </row>
        <row r="39">
          <cell r="B39"/>
        </row>
        <row r="40">
          <cell r="B40"/>
        </row>
        <row r="41">
          <cell r="B41"/>
        </row>
        <row r="61">
          <cell r="B61"/>
          <cell r="C61"/>
          <cell r="D61"/>
        </row>
        <row r="62">
          <cell r="B62"/>
          <cell r="C62"/>
          <cell r="D62"/>
        </row>
        <row r="63">
          <cell r="B63"/>
          <cell r="C63"/>
          <cell r="D63"/>
        </row>
        <row r="64">
          <cell r="B64"/>
          <cell r="C64"/>
          <cell r="D64"/>
        </row>
        <row r="65">
          <cell r="B65"/>
          <cell r="C65"/>
          <cell r="D65"/>
        </row>
        <row r="66">
          <cell r="B66"/>
          <cell r="C66"/>
          <cell r="D66"/>
        </row>
        <row r="67">
          <cell r="B67"/>
          <cell r="C67"/>
          <cell r="D67"/>
        </row>
        <row r="68">
          <cell r="B68"/>
          <cell r="C68"/>
          <cell r="D68"/>
        </row>
        <row r="69">
          <cell r="B69"/>
          <cell r="C69"/>
          <cell r="D69"/>
        </row>
        <row r="70">
          <cell r="B70"/>
          <cell r="C70"/>
          <cell r="D70"/>
        </row>
        <row r="71">
          <cell r="B71"/>
          <cell r="C71"/>
          <cell r="D71"/>
        </row>
        <row r="72">
          <cell r="B72"/>
          <cell r="C72"/>
          <cell r="D72"/>
        </row>
        <row r="73">
          <cell r="B73"/>
          <cell r="C73"/>
          <cell r="D73"/>
        </row>
        <row r="74">
          <cell r="B74"/>
          <cell r="C74"/>
          <cell r="D74"/>
        </row>
        <row r="75">
          <cell r="B75"/>
          <cell r="C75"/>
          <cell r="D75"/>
        </row>
        <row r="76">
          <cell r="B76"/>
          <cell r="C76"/>
          <cell r="D76"/>
        </row>
        <row r="77">
          <cell r="B77"/>
          <cell r="C77"/>
          <cell r="D77"/>
        </row>
        <row r="78">
          <cell r="B78"/>
          <cell r="C78"/>
          <cell r="D78"/>
        </row>
        <row r="79">
          <cell r="B79"/>
          <cell r="C79"/>
          <cell r="D79"/>
        </row>
        <row r="80">
          <cell r="B80"/>
          <cell r="C80"/>
          <cell r="D80"/>
        </row>
        <row r="81">
          <cell r="B81"/>
          <cell r="C81"/>
          <cell r="D81"/>
        </row>
        <row r="82">
          <cell r="B82"/>
          <cell r="C82"/>
          <cell r="D82"/>
        </row>
        <row r="83">
          <cell r="B83"/>
          <cell r="C83"/>
          <cell r="D83"/>
        </row>
        <row r="84">
          <cell r="B84"/>
          <cell r="C84"/>
          <cell r="D84"/>
        </row>
        <row r="85">
          <cell r="B85"/>
          <cell r="C85"/>
          <cell r="D85"/>
        </row>
        <row r="86">
          <cell r="B86"/>
          <cell r="C86"/>
          <cell r="D86"/>
        </row>
        <row r="87">
          <cell r="B87"/>
          <cell r="C87"/>
          <cell r="D87"/>
        </row>
        <row r="88">
          <cell r="B88"/>
          <cell r="C88"/>
          <cell r="D88"/>
        </row>
        <row r="89">
          <cell r="B89"/>
          <cell r="C89"/>
          <cell r="D89"/>
        </row>
        <row r="90">
          <cell r="B90"/>
          <cell r="C90"/>
          <cell r="D90"/>
        </row>
        <row r="91">
          <cell r="B91"/>
          <cell r="C91"/>
          <cell r="D91"/>
        </row>
        <row r="92">
          <cell r="B92"/>
          <cell r="C92"/>
          <cell r="D92"/>
        </row>
        <row r="93">
          <cell r="B93"/>
          <cell r="C93"/>
          <cell r="D93"/>
        </row>
        <row r="94">
          <cell r="B94"/>
          <cell r="C94"/>
          <cell r="D94"/>
        </row>
        <row r="95">
          <cell r="B95"/>
          <cell r="C95"/>
          <cell r="D95"/>
        </row>
        <row r="96">
          <cell r="B96"/>
          <cell r="C96"/>
          <cell r="D96"/>
        </row>
        <row r="97">
          <cell r="B97"/>
          <cell r="C97"/>
          <cell r="D97"/>
        </row>
        <row r="98">
          <cell r="B98"/>
          <cell r="C98"/>
          <cell r="D98"/>
        </row>
        <row r="99">
          <cell r="B99"/>
          <cell r="C99"/>
          <cell r="D99"/>
        </row>
        <row r="100">
          <cell r="B100"/>
          <cell r="C100"/>
          <cell r="D100"/>
        </row>
        <row r="101">
          <cell r="B101"/>
          <cell r="C101"/>
          <cell r="D101"/>
        </row>
        <row r="102">
          <cell r="B102"/>
          <cell r="C102"/>
          <cell r="D102"/>
        </row>
        <row r="103">
          <cell r="B103"/>
          <cell r="C103"/>
          <cell r="D103"/>
        </row>
        <row r="104">
          <cell r="B104"/>
          <cell r="C104"/>
          <cell r="D104"/>
        </row>
        <row r="105">
          <cell r="B105"/>
          <cell r="C105"/>
          <cell r="D105"/>
        </row>
        <row r="106">
          <cell r="B106"/>
          <cell r="C106"/>
          <cell r="D106"/>
        </row>
        <row r="107">
          <cell r="B107"/>
          <cell r="C107"/>
          <cell r="D107"/>
        </row>
        <row r="108">
          <cell r="B108"/>
          <cell r="C108"/>
          <cell r="D108"/>
        </row>
        <row r="109">
          <cell r="B109"/>
          <cell r="C109"/>
          <cell r="D109"/>
        </row>
        <row r="110">
          <cell r="B110"/>
          <cell r="C110"/>
          <cell r="D110"/>
        </row>
        <row r="111">
          <cell r="B111"/>
          <cell r="C111"/>
          <cell r="D111"/>
        </row>
        <row r="112">
          <cell r="B112"/>
          <cell r="C112"/>
          <cell r="D112"/>
        </row>
        <row r="113">
          <cell r="B113"/>
          <cell r="C113"/>
          <cell r="D113"/>
        </row>
        <row r="114">
          <cell r="B114"/>
          <cell r="C114"/>
          <cell r="D114"/>
        </row>
        <row r="115">
          <cell r="B115"/>
          <cell r="C115"/>
          <cell r="D115"/>
        </row>
        <row r="116">
          <cell r="B116"/>
          <cell r="C116"/>
          <cell r="D116"/>
        </row>
        <row r="117">
          <cell r="B117"/>
          <cell r="C117"/>
          <cell r="D117"/>
        </row>
        <row r="118">
          <cell r="B118"/>
          <cell r="C118"/>
          <cell r="D118"/>
        </row>
        <row r="119">
          <cell r="B119"/>
          <cell r="C119"/>
          <cell r="D119"/>
        </row>
        <row r="120">
          <cell r="B120"/>
          <cell r="C120"/>
          <cell r="D120"/>
        </row>
        <row r="121">
          <cell r="B121"/>
          <cell r="C121"/>
          <cell r="D121"/>
        </row>
        <row r="122">
          <cell r="B122"/>
          <cell r="C122"/>
          <cell r="D122"/>
        </row>
        <row r="123">
          <cell r="B123"/>
          <cell r="C123"/>
          <cell r="D123"/>
        </row>
        <row r="124">
          <cell r="B124"/>
          <cell r="C124"/>
          <cell r="D124"/>
        </row>
        <row r="125">
          <cell r="B125"/>
          <cell r="C125"/>
          <cell r="D125"/>
        </row>
        <row r="126">
          <cell r="B126"/>
          <cell r="C126"/>
          <cell r="D126"/>
        </row>
        <row r="127">
          <cell r="B127"/>
          <cell r="C127"/>
          <cell r="D127"/>
        </row>
        <row r="128">
          <cell r="B128"/>
          <cell r="C128"/>
          <cell r="D128"/>
        </row>
        <row r="129">
          <cell r="B129"/>
          <cell r="C129"/>
          <cell r="D129"/>
        </row>
        <row r="130">
          <cell r="B130"/>
          <cell r="C130"/>
          <cell r="D130"/>
        </row>
        <row r="131">
          <cell r="B131"/>
          <cell r="C131"/>
          <cell r="D131"/>
        </row>
        <row r="132">
          <cell r="B132"/>
          <cell r="C132"/>
          <cell r="D132"/>
        </row>
        <row r="133">
          <cell r="B133"/>
          <cell r="C133"/>
          <cell r="D133"/>
        </row>
        <row r="134">
          <cell r="B134"/>
          <cell r="C134"/>
          <cell r="D134"/>
        </row>
        <row r="135">
          <cell r="B135" t="str">
            <v>2   ELÉCTRICA</v>
          </cell>
          <cell r="C135"/>
          <cell r="D135"/>
        </row>
        <row r="137">
          <cell r="B137" t="str">
            <v>Código</v>
          </cell>
          <cell r="C137" t="str">
            <v>Estado</v>
          </cell>
          <cell r="D137" t="str">
            <v>Mantenimiento</v>
          </cell>
        </row>
        <row r="138">
          <cell r="B138" t="str">
            <v>Generador</v>
          </cell>
          <cell r="C138" t="str">
            <v>Generador</v>
          </cell>
          <cell r="D138" t="str">
            <v>Proveedor</v>
          </cell>
        </row>
        <row r="139">
          <cell r="B139" t="str">
            <v>DV25_G_01</v>
          </cell>
          <cell r="C139">
            <v>3</v>
          </cell>
          <cell r="D139">
            <v>2</v>
          </cell>
        </row>
        <row r="140">
          <cell r="B140"/>
          <cell r="C140"/>
          <cell r="D140"/>
        </row>
        <row r="141">
          <cell r="B141" t="str">
            <v>GENERADOR</v>
          </cell>
          <cell r="C141"/>
          <cell r="D141" t="str">
            <v>Estado</v>
          </cell>
        </row>
        <row r="142">
          <cell r="B142" t="str">
            <v>Tanque de combustible</v>
          </cell>
          <cell r="C142"/>
          <cell r="D142" t="str">
            <v>-</v>
          </cell>
        </row>
        <row r="143">
          <cell r="B143" t="str">
            <v>Batería</v>
          </cell>
          <cell r="C143"/>
          <cell r="D143" t="str">
            <v>OK</v>
          </cell>
        </row>
        <row r="144">
          <cell r="B144" t="str">
            <v>Liquido refrigerante</v>
          </cell>
          <cell r="C144"/>
          <cell r="D144" t="str">
            <v>OK</v>
          </cell>
        </row>
        <row r="145">
          <cell r="B145" t="str">
            <v>Aceite</v>
          </cell>
          <cell r="C145"/>
          <cell r="D145" t="str">
            <v>OK</v>
          </cell>
        </row>
        <row r="147">
          <cell r="B147" t="str">
            <v>Comentarios:</v>
          </cell>
          <cell r="C147" t="str">
            <v xml:space="preserve">Se colocó nuevo generador en zona de estacionamiento para suplantar al anterior por cambio </v>
          </cell>
          <cell r="D147"/>
        </row>
        <row r="148">
          <cell r="B148"/>
          <cell r="C148" t="str">
            <v>de potencia.</v>
          </cell>
          <cell r="D148"/>
        </row>
        <row r="149">
          <cell r="B149"/>
          <cell r="C149" t="str">
            <v>Proteger correas.</v>
          </cell>
          <cell r="D149"/>
        </row>
        <row r="154">
          <cell r="B154"/>
          <cell r="C154"/>
        </row>
        <row r="180">
          <cell r="B180" t="str">
            <v>SUBESTACIÓN</v>
          </cell>
          <cell r="C180"/>
          <cell r="D180" t="str">
            <v>Estado</v>
          </cell>
        </row>
        <row r="181">
          <cell r="B181" t="str">
            <v>Objetos extraños</v>
          </cell>
          <cell r="C181"/>
          <cell r="D181" t="str">
            <v>OK</v>
          </cell>
        </row>
        <row r="182">
          <cell r="B182" t="str">
            <v>Filtraciones de agua</v>
          </cell>
          <cell r="C182"/>
          <cell r="D182" t="str">
            <v>OK</v>
          </cell>
        </row>
        <row r="183">
          <cell r="B183" t="str">
            <v>Tableros eléctricos</v>
          </cell>
          <cell r="C183"/>
          <cell r="D183" t="str">
            <v>OK</v>
          </cell>
        </row>
        <row r="184">
          <cell r="B184" t="str">
            <v>Bancos de 
condensadores</v>
          </cell>
          <cell r="C184"/>
          <cell r="D184" t="str">
            <v>OK</v>
          </cell>
        </row>
        <row r="185">
          <cell r="D185"/>
        </row>
        <row r="186">
          <cell r="B186" t="str">
            <v xml:space="preserve">Comentarios: </v>
          </cell>
          <cell r="C186" t="str">
            <v>En módulo factor de potencia, interruptor ABB lado izquiero a 65°C. Verificar.</v>
          </cell>
          <cell r="D186"/>
        </row>
        <row r="187">
          <cell r="B187"/>
          <cell r="C187" t="str">
            <v>En módulo izquierdo, interruptor ABB "Boma S", acometida superior 55°C. Verificar.</v>
          </cell>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B239" t="str">
            <v>UPS</v>
          </cell>
          <cell r="C239"/>
          <cell r="D239" t="str">
            <v>Estado</v>
          </cell>
        </row>
        <row r="240">
          <cell r="B240" t="str">
            <v>UPS en línea</v>
          </cell>
          <cell r="C240"/>
          <cell r="D240" t="str">
            <v>OK</v>
          </cell>
        </row>
        <row r="241">
          <cell r="B241" t="str">
            <v>Aire acondicionado dedicado</v>
          </cell>
          <cell r="C241"/>
          <cell r="D241" t="str">
            <v>OK</v>
          </cell>
        </row>
        <row r="242">
          <cell r="B242" t="str">
            <v>Estado de carga de baterías</v>
          </cell>
          <cell r="C242"/>
          <cell r="D242" t="str">
            <v>OK</v>
          </cell>
        </row>
        <row r="243">
          <cell r="C243"/>
          <cell r="D243"/>
        </row>
        <row r="244">
          <cell r="B244" t="str">
            <v xml:space="preserve">Comentarios: </v>
          </cell>
          <cell r="C244" t="str">
            <v>Limpiar rejilla forntal en ambas UPS.</v>
          </cell>
          <cell r="D244"/>
        </row>
        <row r="245">
          <cell r="C245"/>
          <cell r="D245"/>
        </row>
        <row r="246">
          <cell r="B246"/>
        </row>
        <row r="247">
          <cell r="B247"/>
          <cell r="D247"/>
        </row>
        <row r="248">
          <cell r="B248"/>
          <cell r="D248"/>
        </row>
        <row r="249">
          <cell r="B249"/>
          <cell r="D249"/>
        </row>
        <row r="250">
          <cell r="B250"/>
          <cell r="D250"/>
        </row>
        <row r="251">
          <cell r="B251"/>
          <cell r="D251"/>
        </row>
        <row r="252">
          <cell r="B252"/>
          <cell r="D252"/>
        </row>
        <row r="253">
          <cell r="B253"/>
          <cell r="D253"/>
        </row>
        <row r="254">
          <cell r="B254" t="str">
            <v>3   GAS</v>
          </cell>
          <cell r="C254"/>
          <cell r="D254"/>
        </row>
        <row r="256">
          <cell r="B256" t="str">
            <v>GAS</v>
          </cell>
          <cell r="C256"/>
          <cell r="D256" t="str">
            <v>Estado</v>
          </cell>
        </row>
        <row r="257">
          <cell r="B257" t="str">
            <v>Flexibles autorizados</v>
          </cell>
          <cell r="C257"/>
          <cell r="D257" t="str">
            <v>OK</v>
          </cell>
        </row>
        <row r="258">
          <cell r="B258" t="str">
            <v>Sistema de corte por pánico</v>
          </cell>
          <cell r="C258"/>
          <cell r="D258" t="str">
            <v>OK</v>
          </cell>
        </row>
        <row r="259">
          <cell r="C259"/>
          <cell r="D259"/>
        </row>
        <row r="260">
          <cell r="B260" t="str">
            <v xml:space="preserve">Comentarios: </v>
          </cell>
          <cell r="C260" t="str">
            <v>Boton de corte por pánico en panadería a altura inaccesible y sin cartelería.</v>
          </cell>
          <cell r="D260"/>
        </row>
        <row r="261">
          <cell r="B261"/>
          <cell r="C261" t="str">
            <v>Tramo de tubería en panadería sin pintar.</v>
          </cell>
          <cell r="D261"/>
        </row>
        <row r="262">
          <cell r="C262"/>
          <cell r="D262"/>
        </row>
        <row r="263">
          <cell r="C263"/>
          <cell r="D263"/>
        </row>
        <row r="264">
          <cell r="C264"/>
          <cell r="D264"/>
        </row>
        <row r="265">
          <cell r="C265"/>
          <cell r="D265"/>
        </row>
        <row r="266">
          <cell r="C266"/>
          <cell r="D266"/>
        </row>
        <row r="267">
          <cell r="C267"/>
          <cell r="D267"/>
        </row>
        <row r="268">
          <cell r="C268"/>
          <cell r="D268"/>
        </row>
        <row r="269">
          <cell r="C269"/>
          <cell r="D269"/>
        </row>
        <row r="270">
          <cell r="C270"/>
          <cell r="D270"/>
        </row>
        <row r="271">
          <cell r="C271"/>
          <cell r="D271"/>
        </row>
        <row r="272">
          <cell r="C272"/>
          <cell r="D272"/>
        </row>
        <row r="273">
          <cell r="C273"/>
          <cell r="D273"/>
        </row>
        <row r="274">
          <cell r="C274"/>
          <cell r="D274"/>
        </row>
        <row r="275">
          <cell r="C275"/>
          <cell r="D275"/>
        </row>
        <row r="276">
          <cell r="C276"/>
          <cell r="D276"/>
        </row>
        <row r="277">
          <cell r="C277"/>
          <cell r="D277"/>
        </row>
        <row r="278">
          <cell r="C278"/>
          <cell r="D278"/>
        </row>
        <row r="279">
          <cell r="C279"/>
          <cell r="D279"/>
        </row>
        <row r="280">
          <cell r="C280"/>
          <cell r="D280"/>
        </row>
        <row r="281">
          <cell r="C281"/>
          <cell r="D281"/>
        </row>
        <row r="282">
          <cell r="C282"/>
          <cell r="D282"/>
        </row>
        <row r="283">
          <cell r="C283"/>
          <cell r="D283"/>
        </row>
        <row r="284">
          <cell r="C284"/>
          <cell r="D284"/>
        </row>
        <row r="285">
          <cell r="C285"/>
          <cell r="D285"/>
        </row>
        <row r="286">
          <cell r="C286"/>
          <cell r="D286"/>
        </row>
        <row r="287">
          <cell r="C287"/>
          <cell r="D287"/>
        </row>
        <row r="288">
          <cell r="C288"/>
          <cell r="D288"/>
        </row>
        <row r="289">
          <cell r="C289"/>
          <cell r="D289"/>
        </row>
        <row r="290">
          <cell r="C290"/>
          <cell r="D290"/>
        </row>
        <row r="291">
          <cell r="C291"/>
          <cell r="D291"/>
        </row>
        <row r="292">
          <cell r="C292"/>
          <cell r="D292"/>
        </row>
        <row r="293">
          <cell r="C293"/>
          <cell r="D293"/>
        </row>
        <row r="294">
          <cell r="C294"/>
          <cell r="D294"/>
        </row>
        <row r="295">
          <cell r="C295"/>
          <cell r="D295"/>
        </row>
        <row r="296">
          <cell r="C296"/>
          <cell r="D296"/>
        </row>
        <row r="297">
          <cell r="C297"/>
          <cell r="D297"/>
        </row>
        <row r="298">
          <cell r="C298"/>
          <cell r="D298"/>
        </row>
        <row r="299">
          <cell r="C299"/>
          <cell r="D299"/>
        </row>
        <row r="300">
          <cell r="C300"/>
          <cell r="D300"/>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ntin finozzi" refreshedDate="44677.39107766204" createdVersion="7" refreshedVersion="7" minRefreshableVersion="3" recordCount="54" xr:uid="{08D63902-E317-4E9D-8A0F-9DA94FA511AD}">
  <cacheSource type="worksheet">
    <worksheetSource name="Table1"/>
  </cacheSource>
  <cacheFields count="14">
    <cacheField name="SUC" numFmtId="49">
      <sharedItems count="54">
        <s v="D 01"/>
        <s v="D 02"/>
        <s v="D 03"/>
        <s v="D 04"/>
        <s v="D 05"/>
        <s v="D 06"/>
        <s v="D 07"/>
        <s v="D 08"/>
        <s v="D 09"/>
        <s v="D 10"/>
        <s v="D 11"/>
        <s v="D 12"/>
        <s v="D 13"/>
        <s v="D 14"/>
        <s v="D 15"/>
        <s v="D 16"/>
        <s v="D 17"/>
        <s v="D 18"/>
        <s v="D 19"/>
        <s v="D 20"/>
        <s v="D 21"/>
        <s v="D 22"/>
        <s v="D 23"/>
        <s v="D 24"/>
        <s v="D 25"/>
        <s v="D 26"/>
        <s v="D 27"/>
        <s v="D LC"/>
        <s v="DV 01"/>
        <s v="DV 02"/>
        <s v="DV 03"/>
        <s v="DV 04"/>
        <s v="DV 05"/>
        <s v="DV 06"/>
        <s v="DV 07"/>
        <s v="DV 08"/>
        <s v="DV 09"/>
        <s v="DV 10"/>
        <s v="DV 11"/>
        <s v="DV 12"/>
        <s v="DV 13"/>
        <s v="DV 14"/>
        <s v="DV 15"/>
        <s v="DV 16"/>
        <s v="DV 18"/>
        <s v="DV 19"/>
        <s v="DV 20"/>
        <s v="DV 21"/>
        <s v="DV 22"/>
        <s v="DV 23"/>
        <s v="DV 24"/>
        <s v="DV 25"/>
        <s v="Geant I"/>
        <s v="Geant II"/>
      </sharedItems>
    </cacheField>
    <cacheField name="DIRECCION" numFmtId="0">
      <sharedItems/>
    </cacheField>
    <cacheField name="ENE" numFmtId="0">
      <sharedItems containsString="0" containsBlank="1" containsNumber="1" containsInteger="1" minValue="1" maxValue="1" count="2">
        <m/>
        <n v="1"/>
      </sharedItems>
    </cacheField>
    <cacheField name="FEB" numFmtId="0">
      <sharedItems containsString="0" containsBlank="1" containsNumber="1" containsInteger="1" minValue="1" maxValue="1"/>
    </cacheField>
    <cacheField name="MAR" numFmtId="0">
      <sharedItems containsString="0" containsBlank="1" containsNumber="1" containsInteger="1" minValue="1" maxValue="1"/>
    </cacheField>
    <cacheField name="ABR" numFmtId="0">
      <sharedItems containsString="0" containsBlank="1" containsNumber="1" containsInteger="1" minValue="1" maxValue="1"/>
    </cacheField>
    <cacheField name="MAY" numFmtId="0">
      <sharedItems containsString="0" containsBlank="1" containsNumber="1" containsInteger="1" minValue="1" maxValue="1"/>
    </cacheField>
    <cacheField name="JUN" numFmtId="0">
      <sharedItems containsString="0" containsBlank="1" containsNumber="1" containsInteger="1" minValue="1" maxValue="1"/>
    </cacheField>
    <cacheField name="JUL" numFmtId="0">
      <sharedItems containsString="0" containsBlank="1" containsNumber="1" containsInteger="1" minValue="1" maxValue="1"/>
    </cacheField>
    <cacheField name="AGO" numFmtId="0">
      <sharedItems containsString="0" containsBlank="1" containsNumber="1" containsInteger="1" minValue="1" maxValue="1"/>
    </cacheField>
    <cacheField name="SET" numFmtId="0">
      <sharedItems containsString="0" containsBlank="1" containsNumber="1" containsInteger="1" minValue="1" maxValue="1"/>
    </cacheField>
    <cacheField name="OCT" numFmtId="0">
      <sharedItems containsString="0" containsBlank="1" containsNumber="1" containsInteger="1" minValue="1" maxValue="1"/>
    </cacheField>
    <cacheField name="NOV" numFmtId="0">
      <sharedItems containsString="0" containsBlank="1" containsNumber="1" containsInteger="1" minValue="1" maxValue="1"/>
    </cacheField>
    <cacheField name="DIC"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s v="Scosería 2628"/>
    <x v="0"/>
    <n v="1"/>
    <m/>
    <n v="1"/>
    <m/>
    <n v="1"/>
    <m/>
    <n v="1"/>
    <m/>
    <n v="1"/>
    <m/>
    <n v="1"/>
  </r>
  <r>
    <x v="1"/>
    <s v="Av. Agraciada 2986"/>
    <x v="1"/>
    <m/>
    <n v="1"/>
    <m/>
    <n v="1"/>
    <m/>
    <n v="1"/>
    <m/>
    <n v="1"/>
    <m/>
    <n v="1"/>
    <n v="1"/>
  </r>
  <r>
    <x v="2"/>
    <s v="Arenal Grande 1376"/>
    <x v="1"/>
    <m/>
    <m/>
    <n v="1"/>
    <m/>
    <m/>
    <n v="1"/>
    <m/>
    <m/>
    <n v="1"/>
    <m/>
    <m/>
  </r>
  <r>
    <x v="3"/>
    <s v="Av. Legrand 5085"/>
    <x v="0"/>
    <n v="1"/>
    <m/>
    <m/>
    <n v="1"/>
    <m/>
    <m/>
    <n v="1"/>
    <m/>
    <m/>
    <m/>
    <n v="1"/>
  </r>
  <r>
    <x v="4"/>
    <s v="Pedragosa Sierra y Av. Italia, Punta del Este"/>
    <x v="1"/>
    <m/>
    <n v="1"/>
    <m/>
    <m/>
    <m/>
    <n v="1"/>
    <m/>
    <m/>
    <m/>
    <n v="1"/>
    <n v="1"/>
  </r>
  <r>
    <x v="5"/>
    <s v="Av. Daniel Fernandez Crespo 1727"/>
    <x v="0"/>
    <n v="1"/>
    <m/>
    <m/>
    <m/>
    <m/>
    <m/>
    <m/>
    <n v="1"/>
    <m/>
    <m/>
    <m/>
  </r>
  <r>
    <x v="6"/>
    <s v="Av. Dr. Francisco Soca 1318"/>
    <x v="0"/>
    <m/>
    <n v="1"/>
    <m/>
    <m/>
    <n v="1"/>
    <m/>
    <m/>
    <n v="1"/>
    <m/>
    <m/>
    <n v="1"/>
  </r>
  <r>
    <x v="7"/>
    <s v="Av. Roosevelt y Zelmar Michellini s/n, Maldonado"/>
    <x v="0"/>
    <n v="1"/>
    <m/>
    <n v="1"/>
    <m/>
    <m/>
    <n v="1"/>
    <n v="1"/>
    <m/>
    <n v="1"/>
    <n v="1"/>
    <n v="1"/>
  </r>
  <r>
    <x v="8"/>
    <s v="Ellauri 350, local 002. Shopping Punta Carretas"/>
    <x v="1"/>
    <m/>
    <n v="1"/>
    <n v="1"/>
    <n v="1"/>
    <m/>
    <n v="1"/>
    <n v="1"/>
    <m/>
    <n v="1"/>
    <m/>
    <n v="1"/>
  </r>
  <r>
    <x v="9"/>
    <s v="Brig. Gral. Lavalleja 7722, Maldonado"/>
    <x v="0"/>
    <m/>
    <n v="1"/>
    <m/>
    <m/>
    <m/>
    <m/>
    <m/>
    <n v="1"/>
    <m/>
    <m/>
    <m/>
  </r>
  <r>
    <x v="10"/>
    <s v="8 de Octubre 2681"/>
    <x v="1"/>
    <n v="1"/>
    <m/>
    <n v="1"/>
    <m/>
    <n v="1"/>
    <m/>
    <m/>
    <m/>
    <n v="1"/>
    <n v="1"/>
    <m/>
  </r>
  <r>
    <x v="11"/>
    <s v="8 de Octubre 4786"/>
    <x v="1"/>
    <m/>
    <m/>
    <m/>
    <n v="1"/>
    <m/>
    <m/>
    <m/>
    <m/>
    <n v="1"/>
    <m/>
    <m/>
  </r>
  <r>
    <x v="12"/>
    <s v="Chucarro 1320"/>
    <x v="0"/>
    <n v="1"/>
    <m/>
    <m/>
    <n v="1"/>
    <m/>
    <m/>
    <n v="1"/>
    <m/>
    <m/>
    <n v="1"/>
    <m/>
  </r>
  <r>
    <x v="13"/>
    <s v="Calle 17, entre Gorlero y 24, Punta del Este"/>
    <x v="1"/>
    <m/>
    <n v="1"/>
    <m/>
    <m/>
    <m/>
    <n v="1"/>
    <m/>
    <m/>
    <m/>
    <n v="1"/>
    <n v="1"/>
  </r>
  <r>
    <x v="14"/>
    <s v="Marcelino Sosa 2706"/>
    <x v="0"/>
    <m/>
    <m/>
    <n v="1"/>
    <m/>
    <m/>
    <m/>
    <m/>
    <m/>
    <n v="1"/>
    <m/>
    <m/>
  </r>
  <r>
    <x v="15"/>
    <s v="Ayacucho 3370"/>
    <x v="0"/>
    <m/>
    <m/>
    <m/>
    <n v="1"/>
    <m/>
    <m/>
    <m/>
    <m/>
    <m/>
    <n v="1"/>
    <m/>
  </r>
  <r>
    <x v="16"/>
    <s v="Maldonado 1024"/>
    <x v="0"/>
    <m/>
    <m/>
    <m/>
    <m/>
    <n v="1"/>
    <m/>
    <m/>
    <m/>
    <m/>
    <m/>
    <n v="1"/>
  </r>
  <r>
    <x v="17"/>
    <s v="Av. Giannattasio Km. 23.500"/>
    <x v="1"/>
    <m/>
    <m/>
    <n v="1"/>
    <m/>
    <m/>
    <n v="1"/>
    <m/>
    <m/>
    <n v="1"/>
    <m/>
    <m/>
  </r>
  <r>
    <x v="18"/>
    <s v="Calle Gral. Artigas s/n, entre 22 y 24, Atlántida"/>
    <x v="1"/>
    <m/>
    <n v="1"/>
    <m/>
    <n v="1"/>
    <m/>
    <n v="1"/>
    <m/>
    <m/>
    <m/>
    <n v="1"/>
    <n v="1"/>
  </r>
  <r>
    <x v="19"/>
    <s v="20 de setiembre 1521"/>
    <x v="0"/>
    <m/>
    <n v="1"/>
    <m/>
    <m/>
    <n v="1"/>
    <m/>
    <m/>
    <n v="1"/>
    <m/>
    <m/>
    <n v="1"/>
  </r>
  <r>
    <x v="20"/>
    <s v="Ejido 1530"/>
    <x v="1"/>
    <m/>
    <m/>
    <n v="1"/>
    <m/>
    <m/>
    <n v="1"/>
    <m/>
    <m/>
    <n v="1"/>
    <m/>
    <m/>
  </r>
  <r>
    <x v="21"/>
    <s v="Barrios Amorín 859"/>
    <x v="1"/>
    <m/>
    <m/>
    <m/>
    <m/>
    <m/>
    <n v="1"/>
    <m/>
    <m/>
    <m/>
    <m/>
    <m/>
  </r>
  <r>
    <x v="22"/>
    <s v="Av. Giannattasio km 27.500 y Av. Central"/>
    <x v="0"/>
    <n v="1"/>
    <m/>
    <m/>
    <m/>
    <m/>
    <m/>
    <m/>
    <n v="1"/>
    <m/>
    <m/>
    <m/>
  </r>
  <r>
    <x v="23"/>
    <s v="Obligado 968"/>
    <x v="0"/>
    <m/>
    <n v="1"/>
    <m/>
    <m/>
    <m/>
    <m/>
    <m/>
    <n v="1"/>
    <m/>
    <m/>
    <m/>
  </r>
  <r>
    <x v="24"/>
    <s v="Francisco Solano López 1680"/>
    <x v="0"/>
    <m/>
    <m/>
    <n v="1"/>
    <m/>
    <m/>
    <m/>
    <m/>
    <m/>
    <n v="1"/>
    <m/>
    <m/>
  </r>
  <r>
    <x v="25"/>
    <s v="Florencio Sanchez 729, Canelones"/>
    <x v="0"/>
    <m/>
    <m/>
    <m/>
    <n v="1"/>
    <m/>
    <m/>
    <m/>
    <m/>
    <m/>
    <n v="1"/>
    <m/>
  </r>
  <r>
    <x v="26"/>
    <s v="Magariños Cervantes 2052"/>
    <x v="1"/>
    <n v="1"/>
    <m/>
    <n v="1"/>
    <m/>
    <m/>
    <n v="1"/>
    <m/>
    <m/>
    <n v="1"/>
    <m/>
    <n v="1"/>
  </r>
  <r>
    <x v="27"/>
    <s v="Naciones Unidas y Rambla"/>
    <x v="0"/>
    <n v="1"/>
    <m/>
    <m/>
    <m/>
    <m/>
    <m/>
    <m/>
    <n v="1"/>
    <m/>
    <m/>
    <m/>
  </r>
  <r>
    <x v="28"/>
    <s v="H. Irigoyen 1444"/>
    <x v="0"/>
    <n v="1"/>
    <m/>
    <m/>
    <n v="1"/>
    <m/>
    <m/>
    <n v="1"/>
    <m/>
    <m/>
    <n v="1"/>
    <m/>
  </r>
  <r>
    <x v="29"/>
    <s v="Gral. Paz 1404"/>
    <x v="0"/>
    <m/>
    <m/>
    <m/>
    <m/>
    <n v="1"/>
    <m/>
    <m/>
    <m/>
    <m/>
    <m/>
    <n v="1"/>
  </r>
  <r>
    <x v="30"/>
    <s v="Rivera 4502"/>
    <x v="1"/>
    <m/>
    <m/>
    <m/>
    <m/>
    <m/>
    <n v="1"/>
    <m/>
    <m/>
    <m/>
    <m/>
    <m/>
  </r>
  <r>
    <x v="31"/>
    <s v="Bolivia 1413"/>
    <x v="0"/>
    <n v="1"/>
    <m/>
    <m/>
    <m/>
    <m/>
    <m/>
    <n v="1"/>
    <m/>
    <m/>
    <m/>
    <m/>
  </r>
  <r>
    <x v="32"/>
    <s v="Av. Calcagno s/n, Shangrilá"/>
    <x v="0"/>
    <m/>
    <n v="1"/>
    <m/>
    <m/>
    <m/>
    <m/>
    <m/>
    <n v="1"/>
    <m/>
    <m/>
    <m/>
  </r>
  <r>
    <x v="33"/>
    <s v="Av. Italia 6958 esq. Sta. Mónica"/>
    <x v="0"/>
    <m/>
    <n v="1"/>
    <m/>
    <m/>
    <n v="1"/>
    <m/>
    <m/>
    <n v="1"/>
    <m/>
    <m/>
    <n v="1"/>
  </r>
  <r>
    <x v="34"/>
    <s v="Av. Garzón 1945"/>
    <x v="0"/>
    <m/>
    <m/>
    <n v="1"/>
    <m/>
    <m/>
    <m/>
    <m/>
    <m/>
    <n v="1"/>
    <m/>
    <m/>
  </r>
  <r>
    <x v="35"/>
    <s v="San Martín 3709"/>
    <x v="0"/>
    <m/>
    <m/>
    <m/>
    <n v="1"/>
    <m/>
    <m/>
    <m/>
    <m/>
    <m/>
    <n v="1"/>
    <m/>
  </r>
  <r>
    <x v="36"/>
    <s v="Av. Roosevelt y Parada 10"/>
    <x v="1"/>
    <n v="1"/>
    <m/>
    <n v="1"/>
    <m/>
    <m/>
    <m/>
    <m/>
    <m/>
    <n v="1"/>
    <n v="1"/>
    <m/>
  </r>
  <r>
    <x v="37"/>
    <s v="Av. Italia 5779"/>
    <x v="1"/>
    <m/>
    <n v="1"/>
    <n v="1"/>
    <n v="1"/>
    <m/>
    <n v="1"/>
    <m/>
    <n v="1"/>
    <n v="1"/>
    <m/>
    <n v="1"/>
  </r>
  <r>
    <x v="38"/>
    <s v="Cno. Ariel 4626"/>
    <x v="1"/>
    <m/>
    <n v="1"/>
    <n v="1"/>
    <m/>
    <n v="1"/>
    <m/>
    <m/>
    <m/>
    <n v="1"/>
    <m/>
    <n v="1"/>
  </r>
  <r>
    <x v="39"/>
    <s v="Ruta 8 km 30.800, Pando."/>
    <x v="1"/>
    <m/>
    <m/>
    <n v="1"/>
    <m/>
    <m/>
    <n v="1"/>
    <m/>
    <m/>
    <n v="1"/>
    <m/>
    <m/>
  </r>
  <r>
    <x v="40"/>
    <s v="Rbla. de los Argentinos y Vázquez"/>
    <x v="1"/>
    <m/>
    <m/>
    <m/>
    <m/>
    <m/>
    <m/>
    <m/>
    <m/>
    <m/>
    <m/>
    <n v="1"/>
  </r>
  <r>
    <x v="41"/>
    <s v="Av. Piria y Bs.As"/>
    <x v="1"/>
    <n v="1"/>
    <m/>
    <n v="1"/>
    <n v="1"/>
    <m/>
    <n v="1"/>
    <n v="1"/>
    <m/>
    <n v="1"/>
    <n v="1"/>
    <m/>
  </r>
  <r>
    <x v="42"/>
    <s v="Agraciada y Fco. Gómez"/>
    <x v="0"/>
    <n v="1"/>
    <m/>
    <m/>
    <n v="1"/>
    <m/>
    <m/>
    <n v="1"/>
    <m/>
    <m/>
    <n v="1"/>
    <m/>
  </r>
  <r>
    <x v="43"/>
    <s v="Av. Gral. San Martín 3083"/>
    <x v="0"/>
    <m/>
    <n v="1"/>
    <m/>
    <m/>
    <n v="1"/>
    <m/>
    <m/>
    <n v="1"/>
    <m/>
    <m/>
    <n v="1"/>
  </r>
  <r>
    <x v="44"/>
    <s v="Juan A. Lavalleja 671"/>
    <x v="0"/>
    <n v="1"/>
    <m/>
    <m/>
    <m/>
    <m/>
    <m/>
    <n v="1"/>
    <m/>
    <m/>
    <m/>
    <m/>
  </r>
  <r>
    <x v="45"/>
    <s v="Joaquín Suarez 3458"/>
    <x v="1"/>
    <m/>
    <m/>
    <n v="1"/>
    <m/>
    <m/>
    <n v="1"/>
    <m/>
    <m/>
    <n v="1"/>
    <m/>
    <m/>
  </r>
  <r>
    <x v="46"/>
    <s v="Arenal Grande 2006"/>
    <x v="0"/>
    <n v="1"/>
    <m/>
    <m/>
    <n v="1"/>
    <m/>
    <m/>
    <n v="1"/>
    <m/>
    <m/>
    <n v="1"/>
    <m/>
  </r>
  <r>
    <x v="47"/>
    <s v="8 de Octubre 3621"/>
    <x v="0"/>
    <m/>
    <n v="1"/>
    <m/>
    <m/>
    <n v="1"/>
    <m/>
    <m/>
    <n v="1"/>
    <m/>
    <m/>
    <n v="1"/>
  </r>
  <r>
    <x v="48"/>
    <s v="26 de Marzo esq. Lorenzo Pérez"/>
    <x v="1"/>
    <m/>
    <n v="1"/>
    <m/>
    <m/>
    <n v="1"/>
    <n v="1"/>
    <m/>
    <n v="1"/>
    <n v="1"/>
    <m/>
    <n v="1"/>
  </r>
  <r>
    <x v="49"/>
    <s v="Coronel Mora y Agr. Francisco Ros"/>
    <x v="0"/>
    <n v="1"/>
    <m/>
    <m/>
    <n v="1"/>
    <m/>
    <m/>
    <n v="1"/>
    <m/>
    <m/>
    <n v="1"/>
    <m/>
  </r>
  <r>
    <x v="50"/>
    <s v="Av. San Quintín 4376"/>
    <x v="0"/>
    <m/>
    <m/>
    <n v="1"/>
    <m/>
    <m/>
    <n v="1"/>
    <m/>
    <m/>
    <n v="1"/>
    <m/>
    <m/>
  </r>
  <r>
    <x v="51"/>
    <s v="Av. Dr. Pouey 622."/>
    <x v="0"/>
    <n v="1"/>
    <m/>
    <m/>
    <m/>
    <m/>
    <m/>
    <n v="1"/>
    <m/>
    <m/>
    <m/>
    <m/>
  </r>
  <r>
    <x v="52"/>
    <s v="Av. Giannattasio y Av. La Playa"/>
    <x v="1"/>
    <n v="1"/>
    <n v="1"/>
    <n v="1"/>
    <n v="1"/>
    <n v="1"/>
    <n v="1"/>
    <n v="1"/>
    <n v="1"/>
    <n v="1"/>
    <n v="1"/>
    <n v="1"/>
  </r>
  <r>
    <x v="53"/>
    <s v="Shopping Nuevo Centro"/>
    <x v="0"/>
    <n v="1"/>
    <m/>
    <n v="1"/>
    <m/>
    <n v="1"/>
    <m/>
    <n v="1"/>
    <m/>
    <n v="1"/>
    <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3E688C-8A19-4C99-BAD1-3BFC12A21A2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18:L135"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CF6676-560C-4F23-91CA-A2A718E74D75}" name="Table1" displayName="Table1" ref="B2:Q54" totalsRowShown="0" headerRowDxfId="32" dataDxfId="30" headerRowBorderDxfId="31" tableBorderDxfId="29">
  <autoFilter ref="B2:Q54" xr:uid="{95821036-3F31-4ED7-B793-520D41286251}"/>
  <sortState xmlns:xlrd2="http://schemas.microsoft.com/office/spreadsheetml/2017/richdata2" ref="B3:Q54">
    <sortCondition ref="B2:B54"/>
  </sortState>
  <tableColumns count="16">
    <tableColumn id="1" xr3:uid="{3E267657-0AAF-46C7-8616-3D79E70DA2FF}" name="SUC" dataDxfId="28"/>
    <tableColumn id="15" xr3:uid="{648BDEFA-CB45-44F5-9F93-CD5C322CEF9F}" name="NOMBRE" dataDxfId="27"/>
    <tableColumn id="2" xr3:uid="{76256ED3-E112-42F3-BFA3-1C8D9CF9EF50}" name="DIRECCION" dataDxfId="26"/>
    <tableColumn id="3" xr3:uid="{30A385EA-24DA-4774-BE43-44CB74895565}" name="ENE" dataDxfId="25"/>
    <tableColumn id="4" xr3:uid="{D72656F4-50D0-4313-8BF6-89A67A7F1970}" name="FEB" dataDxfId="24"/>
    <tableColumn id="5" xr3:uid="{E42E55C8-CE1B-4DA2-9D9A-8E30BAA7DD95}" name="MAR" dataDxfId="23"/>
    <tableColumn id="6" xr3:uid="{39578059-E3C9-4C17-A45E-086EFB46E4AE}" name="ABR" dataDxfId="22"/>
    <tableColumn id="7" xr3:uid="{9B9A5BF1-1A6A-4341-8CEA-91A18AABFD1A}" name="MAY" dataDxfId="21"/>
    <tableColumn id="8" xr3:uid="{B3EC2961-321F-40B8-9BED-79D5E59F51E2}" name="JUN" dataDxfId="20"/>
    <tableColumn id="9" xr3:uid="{B5D83CC0-FB7E-422F-9CE7-02EE93BB5501}" name="JUL" dataDxfId="19"/>
    <tableColumn id="10" xr3:uid="{1D30F5AC-661F-44D8-88C3-61C5C17F7E34}" name="AGO" dataDxfId="18"/>
    <tableColumn id="11" xr3:uid="{747D7EF2-FF82-4F4B-BEC8-3B8F797F4016}" name="SET" dataDxfId="17"/>
    <tableColumn id="12" xr3:uid="{9BF8EBFC-23A3-46D0-9756-0F04A4140D3A}" name="OCT" dataDxfId="16"/>
    <tableColumn id="13" xr3:uid="{786893E7-7F11-49A4-92E0-A5761F05C578}" name="NOV" dataDxfId="15"/>
    <tableColumn id="14" xr3:uid="{50558DEA-B794-4C16-9E0C-66E4332FA7F6}" name="DIC" dataDxfId="14"/>
    <tableColumn id="16" xr3:uid="{8ED57B8B-B7DF-4B19-A9D9-5CAE572B75C7}" name="Recordatorio" dataDxfId="13"/>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www.disco.com.uy/index.php?target=locales_ubicacion" TargetMode="External"/><Relationship Id="rId13" Type="http://schemas.openxmlformats.org/officeDocument/2006/relationships/printerSettings" Target="../printerSettings/printerSettings3.bin"/><Relationship Id="rId3" Type="http://schemas.openxmlformats.org/officeDocument/2006/relationships/hyperlink" Target="http://www.disco.com.uy/index.php?target=locales_ubicacion" TargetMode="External"/><Relationship Id="rId7" Type="http://schemas.openxmlformats.org/officeDocument/2006/relationships/hyperlink" Target="http://www.disco.com.uy/index.php?target=locales_ubicacion" TargetMode="External"/><Relationship Id="rId12" Type="http://schemas.openxmlformats.org/officeDocument/2006/relationships/hyperlink" Target="http://www.disco.com.uy/index.php?target=locales_ubicacion" TargetMode="External"/><Relationship Id="rId2" Type="http://schemas.openxmlformats.org/officeDocument/2006/relationships/hyperlink" Target="http://www.disco.com.uy/index.php?target=locales_ubicacion" TargetMode="External"/><Relationship Id="rId1" Type="http://schemas.openxmlformats.org/officeDocument/2006/relationships/hyperlink" Target="http://www.disco.com.uy/index.php?target=locales_ubicacion" TargetMode="External"/><Relationship Id="rId6" Type="http://schemas.openxmlformats.org/officeDocument/2006/relationships/hyperlink" Target="http://www.disco.com.uy/index.php?target=locales_ubicacion" TargetMode="External"/><Relationship Id="rId11" Type="http://schemas.openxmlformats.org/officeDocument/2006/relationships/hyperlink" Target="http://www.disco.com.uy/index.php?target=locales_ubicacion" TargetMode="External"/><Relationship Id="rId5" Type="http://schemas.openxmlformats.org/officeDocument/2006/relationships/hyperlink" Target="http://www.disco.com.uy/index.php?target=locales_ubicacion" TargetMode="External"/><Relationship Id="rId10" Type="http://schemas.openxmlformats.org/officeDocument/2006/relationships/hyperlink" Target="http://www.disco.com.uy/index.php?target=locales_ubicacion" TargetMode="External"/><Relationship Id="rId4" Type="http://schemas.openxmlformats.org/officeDocument/2006/relationships/hyperlink" Target="http://www.disco.com.uy/index.php?target=locales_ubicacion" TargetMode="External"/><Relationship Id="rId9" Type="http://schemas.openxmlformats.org/officeDocument/2006/relationships/hyperlink" Target="http://www.disco.com.uy/index.php?target=locales_ubicac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5D57-32DD-45A0-9047-FE423D048737}">
  <sheetPr>
    <pageSetUpPr fitToPage="1"/>
  </sheetPr>
  <dimension ref="B2:V60"/>
  <sheetViews>
    <sheetView tabSelected="1" topLeftCell="B10" zoomScale="70" zoomScaleNormal="70" workbookViewId="0">
      <selection activeCell="F40" sqref="F40"/>
    </sheetView>
  </sheetViews>
  <sheetFormatPr baseColWidth="10" defaultColWidth="9.140625" defaultRowHeight="15.75" customHeight="1" x14ac:dyDescent="0.25"/>
  <cols>
    <col min="1" max="1" width="3.42578125" style="2" customWidth="1"/>
    <col min="2" max="2" width="8.85546875" style="9" bestFit="1" customWidth="1"/>
    <col min="3" max="3" width="22.5703125" style="9" bestFit="1" customWidth="1"/>
    <col min="4" max="4" width="45.140625" style="3" bestFit="1" customWidth="1"/>
    <col min="5" max="5" width="7.5703125" style="1" bestFit="1" customWidth="1"/>
    <col min="6" max="6" width="7.28515625" style="1" bestFit="1" customWidth="1"/>
    <col min="7" max="7" width="8.28515625" style="1" bestFit="1" customWidth="1"/>
    <col min="8" max="8" width="7.7109375" style="1" bestFit="1" customWidth="1"/>
    <col min="9" max="9" width="8.28515625" style="1" bestFit="1" customWidth="1"/>
    <col min="10" max="10" width="7.5703125" style="1" bestFit="1" customWidth="1"/>
    <col min="11" max="11" width="7.140625" style="1" bestFit="1" customWidth="1"/>
    <col min="12" max="12" width="8.28515625" style="1" bestFit="1" customWidth="1"/>
    <col min="13" max="13" width="7.140625" style="1" bestFit="1" customWidth="1"/>
    <col min="14" max="14" width="7.7109375" style="1" bestFit="1" customWidth="1"/>
    <col min="15" max="15" width="8.28515625" style="1" bestFit="1" customWidth="1"/>
    <col min="16" max="16" width="7.140625" style="1" bestFit="1" customWidth="1"/>
    <col min="17" max="17" width="36.5703125" style="2" hidden="1" customWidth="1"/>
    <col min="18" max="18" width="9.140625" style="2"/>
    <col min="19" max="19" width="13.42578125" style="2" customWidth="1"/>
    <col min="20" max="21" width="9.140625" style="2"/>
    <col min="22" max="22" width="11.42578125" style="2" customWidth="1"/>
    <col min="23" max="16384" width="9.140625" style="2"/>
  </cols>
  <sheetData>
    <row r="2" spans="2:22" ht="15.75" customHeight="1" thickBot="1" x14ac:dyDescent="0.3">
      <c r="B2" s="34" t="s">
        <v>0</v>
      </c>
      <c r="C2" s="54" t="s">
        <v>1</v>
      </c>
      <c r="D2" s="33" t="s">
        <v>2</v>
      </c>
      <c r="E2" s="38" t="s">
        <v>3</v>
      </c>
      <c r="F2" s="38" t="s">
        <v>4</v>
      </c>
      <c r="G2" s="38" t="s">
        <v>5</v>
      </c>
      <c r="H2" s="38" t="s">
        <v>6</v>
      </c>
      <c r="I2" s="38" t="s">
        <v>7</v>
      </c>
      <c r="J2" s="38" t="s">
        <v>8</v>
      </c>
      <c r="K2" s="38" t="s">
        <v>9</v>
      </c>
      <c r="L2" s="38" t="s">
        <v>10</v>
      </c>
      <c r="M2" s="38" t="s">
        <v>11</v>
      </c>
      <c r="N2" s="38" t="s">
        <v>12</v>
      </c>
      <c r="O2" s="38" t="s">
        <v>13</v>
      </c>
      <c r="P2" s="39" t="s">
        <v>14</v>
      </c>
      <c r="Q2" s="62" t="s">
        <v>15</v>
      </c>
      <c r="R2" s="41"/>
      <c r="S2" s="61" t="s">
        <v>16</v>
      </c>
      <c r="U2" s="66" t="s">
        <v>17</v>
      </c>
      <c r="V2" s="66" t="s">
        <v>18</v>
      </c>
    </row>
    <row r="3" spans="2:22" ht="15.75" customHeight="1" x14ac:dyDescent="0.25">
      <c r="B3" s="76" t="s">
        <v>19</v>
      </c>
      <c r="C3" s="77" t="s">
        <v>20</v>
      </c>
      <c r="D3" s="78" t="s">
        <v>21</v>
      </c>
      <c r="E3" s="75"/>
      <c r="F3" s="75"/>
      <c r="G3" s="75"/>
      <c r="H3" s="75"/>
      <c r="I3" s="75"/>
      <c r="J3" s="75">
        <v>1</v>
      </c>
      <c r="K3" s="75"/>
      <c r="L3" s="75"/>
      <c r="M3" s="75"/>
      <c r="N3" s="75"/>
      <c r="O3" s="75"/>
      <c r="P3" s="75">
        <v>1</v>
      </c>
      <c r="Q3" s="71">
        <f>VLOOKUP("SUCURSAL:",[1]Informe!$B$1:$D$276,3,FALSE)</f>
        <v>0</v>
      </c>
      <c r="R3" s="37"/>
      <c r="S3" s="40">
        <f>SUM(Table1[[#This Row],[ENE]:[DIC]])</f>
        <v>2</v>
      </c>
      <c r="U3" s="2" t="str">
        <f>SUBSTITUTE(SUBSTITUTE(Table1[[#This Row],[SUC]]," ",""),"Geant","G")</f>
        <v>D01</v>
      </c>
      <c r="V3" s="2" t="str">
        <f>"=VLOOKUP("&amp;CHAR(34)&amp;"SUCURSAL:"&amp;CHAR(34)&amp;";'https://alutiposrl.sharepoint.com/sites/Creative/Documentos compartidos/Proyectos/DISCO/Disco 205-UY12/Información general/Planillas/[Disco 205-UY12 Planilla de registro de visita "&amp;U3&amp;".xlsx]Informe'!$B$1:$D$300;3;false)"</f>
        <v>=VLOOKUP("SUCURSAL:";'https://alutiposrl.sharepoint.com/sites/Creative/Documentos compartidos/Proyectos/DISCO/Disco 205-UY12/Información general/Planillas/[Disco 205-UY12 Planilla de registro de visita D01.xlsx]Informe'!$B$1:$D$300;3;false)</v>
      </c>
    </row>
    <row r="4" spans="2:22" ht="15.75" customHeight="1" x14ac:dyDescent="0.25">
      <c r="B4" s="35" t="s">
        <v>22</v>
      </c>
      <c r="C4" s="57" t="s">
        <v>23</v>
      </c>
      <c r="D4" s="40" t="s">
        <v>24</v>
      </c>
      <c r="E4" s="37"/>
      <c r="F4" s="37"/>
      <c r="G4" s="37">
        <v>1</v>
      </c>
      <c r="H4" s="37"/>
      <c r="I4" s="37"/>
      <c r="J4" s="37"/>
      <c r="K4" s="37"/>
      <c r="L4" s="37"/>
      <c r="M4" s="37">
        <v>1</v>
      </c>
      <c r="N4" s="37"/>
      <c r="O4" s="37"/>
      <c r="P4" s="37"/>
      <c r="Q4" s="71">
        <f>VLOOKUP("SUCURSAL:",[2]Informe!$B$1:$D$300,3,FALSE)</f>
        <v>0</v>
      </c>
      <c r="R4" s="37"/>
      <c r="S4" s="40">
        <f>SUM(Table1[[#This Row],[ENE]:[DIC]])</f>
        <v>2</v>
      </c>
      <c r="U4" s="2" t="str">
        <f>SUBSTITUTE(SUBSTITUTE(Table1[[#This Row],[SUC]]," ",""),"Geant","G")</f>
        <v>D02</v>
      </c>
      <c r="V4" s="2" t="str">
        <f t="shared" ref="V4:V54" si="0">"=VLOOKUP("&amp;CHAR(34)&amp;"SUCURSAL:"&amp;CHAR(34)&amp;";'https://alutiposrl.sharepoint.com/sites/Creative/Documentos compartidos/Proyectos/DISCO/Disco 205-UY12/Información general/Planillas/[Disco 205-UY12 Planilla de registro de visita "&amp;U4&amp;".xlsx]Informe'!$B$1:$D$300;3;false)"</f>
        <v>=VLOOKUP("SUCURSAL:";'https://alutiposrl.sharepoint.com/sites/Creative/Documentos compartidos/Proyectos/DISCO/Disco 205-UY12/Información general/Planillas/[Disco 205-UY12 Planilla de registro de visita D02.xlsx]Informe'!$B$1:$D$300;3;false)</v>
      </c>
    </row>
    <row r="5" spans="2:22" ht="15.75" customHeight="1" x14ac:dyDescent="0.25">
      <c r="B5" s="35" t="s">
        <v>25</v>
      </c>
      <c r="C5" s="57" t="s">
        <v>26</v>
      </c>
      <c r="D5" s="40" t="s">
        <v>27</v>
      </c>
      <c r="E5" s="37">
        <v>1</v>
      </c>
      <c r="F5" s="37"/>
      <c r="G5" s="37"/>
      <c r="H5" s="37"/>
      <c r="I5" s="37"/>
      <c r="J5" s="37"/>
      <c r="K5" s="37">
        <v>1</v>
      </c>
      <c r="L5" s="37"/>
      <c r="M5" s="37"/>
      <c r="N5" s="37"/>
      <c r="O5" s="37"/>
      <c r="P5" s="37"/>
      <c r="Q5" s="71">
        <f>VLOOKUP("SUCURSAL:",[3]Informe!$B$1:$D$300,3,FALSE)</f>
        <v>0</v>
      </c>
      <c r="R5" s="37"/>
      <c r="S5" s="40">
        <f>SUM(Table1[[#This Row],[ENE]:[DIC]])</f>
        <v>2</v>
      </c>
      <c r="U5" s="2" t="str">
        <f>SUBSTITUTE(SUBSTITUTE(Table1[[#This Row],[SUC]]," ",""),"Geant","G")</f>
        <v>D03</v>
      </c>
      <c r="V5" s="2" t="str">
        <f t="shared" si="0"/>
        <v>=VLOOKUP("SUCURSAL:";'https://alutiposrl.sharepoint.com/sites/Creative/Documentos compartidos/Proyectos/DISCO/Disco 205-UY12/Información general/Planillas/[Disco 205-UY12 Planilla de registro de visita D03.xlsx]Informe'!$B$1:$D$300;3;false)</v>
      </c>
    </row>
    <row r="6" spans="2:22" ht="15.75" customHeight="1" x14ac:dyDescent="0.25">
      <c r="B6" s="72" t="s">
        <v>28</v>
      </c>
      <c r="C6" s="73" t="s">
        <v>29</v>
      </c>
      <c r="D6" s="74" t="s">
        <v>30</v>
      </c>
      <c r="E6" s="75"/>
      <c r="F6" s="75">
        <v>1</v>
      </c>
      <c r="G6" s="75"/>
      <c r="H6" s="75"/>
      <c r="I6" s="75"/>
      <c r="J6" s="75"/>
      <c r="K6" s="75"/>
      <c r="L6" s="75">
        <v>1</v>
      </c>
      <c r="M6" s="75"/>
      <c r="N6" s="75"/>
      <c r="O6" s="75"/>
      <c r="P6" s="75"/>
      <c r="Q6" s="71">
        <f>VLOOKUP("SUCURSAL:",[4]Informe!$B$1:$D$300,3,FALSE)</f>
        <v>0</v>
      </c>
      <c r="R6" s="37"/>
      <c r="S6" s="40">
        <f>SUM(Table1[[#This Row],[ENE]:[DIC]])</f>
        <v>2</v>
      </c>
      <c r="U6" s="2" t="str">
        <f>SUBSTITUTE(SUBSTITUTE(Table1[[#This Row],[SUC]]," ",""),"Geant","G")</f>
        <v>D04</v>
      </c>
      <c r="V6" s="2" t="str">
        <f t="shared" si="0"/>
        <v>=VLOOKUP("SUCURSAL:";'https://alutiposrl.sharepoint.com/sites/Creative/Documentos compartidos/Proyectos/DISCO/Disco 205-UY12/Información general/Planillas/[Disco 205-UY12 Planilla de registro de visita D04.xlsx]Informe'!$B$1:$D$300;3;false)</v>
      </c>
    </row>
    <row r="7" spans="2:22" ht="15.75" customHeight="1" x14ac:dyDescent="0.25">
      <c r="B7" s="35" t="s">
        <v>31</v>
      </c>
      <c r="C7" s="57" t="s">
        <v>32</v>
      </c>
      <c r="D7" s="40" t="s">
        <v>33</v>
      </c>
      <c r="E7" s="37"/>
      <c r="F7" s="37"/>
      <c r="G7" s="37"/>
      <c r="H7" s="37"/>
      <c r="I7" s="37">
        <v>1</v>
      </c>
      <c r="J7" s="37"/>
      <c r="K7" s="37"/>
      <c r="L7" s="37"/>
      <c r="M7" s="37"/>
      <c r="N7" s="37"/>
      <c r="O7" s="37"/>
      <c r="P7" s="37">
        <v>1</v>
      </c>
      <c r="Q7" s="71">
        <f>VLOOKUP("SUCURSAL:",[5]Informe!$B$1:$D$301,3,FALSE)</f>
        <v>0</v>
      </c>
      <c r="R7" s="37"/>
      <c r="S7" s="40">
        <f>SUM(Table1[[#This Row],[ENE]:[DIC]])</f>
        <v>2</v>
      </c>
      <c r="U7" s="2" t="str">
        <f>SUBSTITUTE(SUBSTITUTE(Table1[[#This Row],[SUC]]," ",""),"Geant","G")</f>
        <v>D05</v>
      </c>
      <c r="V7" s="2" t="str">
        <f t="shared" si="0"/>
        <v>=VLOOKUP("SUCURSAL:";'https://alutiposrl.sharepoint.com/sites/Creative/Documentos compartidos/Proyectos/DISCO/Disco 205-UY12/Información general/Planillas/[Disco 205-UY12 Planilla de registro de visita D05.xlsx]Informe'!$B$1:$D$300;3;false)</v>
      </c>
    </row>
    <row r="8" spans="2:22" ht="15.75" customHeight="1" x14ac:dyDescent="0.25">
      <c r="B8" s="35" t="s">
        <v>34</v>
      </c>
      <c r="C8" s="57" t="s">
        <v>35</v>
      </c>
      <c r="D8" s="40" t="s">
        <v>36</v>
      </c>
      <c r="E8" s="37"/>
      <c r="F8" s="37"/>
      <c r="G8" s="37">
        <v>1</v>
      </c>
      <c r="H8" s="37"/>
      <c r="I8" s="37"/>
      <c r="J8" s="37"/>
      <c r="K8" s="37"/>
      <c r="L8" s="37"/>
      <c r="M8" s="37">
        <v>1</v>
      </c>
      <c r="N8" s="37"/>
      <c r="O8" s="37"/>
      <c r="P8" s="37"/>
      <c r="Q8" s="71">
        <f>VLOOKUP("SUCURSAL:",[6]Informe!$B$1:$D$300,3,FALSE)</f>
        <v>0</v>
      </c>
      <c r="R8" s="37"/>
      <c r="S8" s="40">
        <f>SUM(Table1[[#This Row],[ENE]:[DIC]])</f>
        <v>2</v>
      </c>
      <c r="U8" s="2" t="str">
        <f>SUBSTITUTE(SUBSTITUTE(Table1[[#This Row],[SUC]]," ",""),"Geant","G")</f>
        <v>D06</v>
      </c>
      <c r="V8" s="2" t="str">
        <f t="shared" si="0"/>
        <v>=VLOOKUP("SUCURSAL:";'https://alutiposrl.sharepoint.com/sites/Creative/Documentos compartidos/Proyectos/DISCO/Disco 205-UY12/Información general/Planillas/[Disco 205-UY12 Planilla de registro de visita D06.xlsx]Informe'!$B$1:$D$300;3;false)</v>
      </c>
    </row>
    <row r="9" spans="2:22" ht="15.75" customHeight="1" x14ac:dyDescent="0.25">
      <c r="B9" s="72" t="s">
        <v>37</v>
      </c>
      <c r="C9" s="73" t="s">
        <v>38</v>
      </c>
      <c r="D9" s="74" t="s">
        <v>39</v>
      </c>
      <c r="E9" s="75"/>
      <c r="F9" s="75"/>
      <c r="G9" s="75">
        <v>1</v>
      </c>
      <c r="H9" s="75"/>
      <c r="I9" s="75"/>
      <c r="J9" s="75"/>
      <c r="K9" s="75"/>
      <c r="L9" s="75"/>
      <c r="M9" s="75">
        <v>1</v>
      </c>
      <c r="N9" s="75"/>
      <c r="O9" s="75"/>
      <c r="P9" s="75"/>
      <c r="Q9" s="71">
        <f>VLOOKUP("SUCURSAL:",[7]Informe!$B$1:$D$300,3,FALSE)</f>
        <v>0</v>
      </c>
      <c r="R9" s="37"/>
      <c r="S9" s="40">
        <f>SUM(Table1[[#This Row],[ENE]:[DIC]])</f>
        <v>2</v>
      </c>
      <c r="U9" s="2" t="str">
        <f>SUBSTITUTE(SUBSTITUTE(Table1[[#This Row],[SUC]]," ",""),"Geant","G")</f>
        <v>D07</v>
      </c>
      <c r="V9" s="2" t="str">
        <f t="shared" si="0"/>
        <v>=VLOOKUP("SUCURSAL:";'https://alutiposrl.sharepoint.com/sites/Creative/Documentos compartidos/Proyectos/DISCO/Disco 205-UY12/Información general/Planillas/[Disco 205-UY12 Planilla de registro de visita D07.xlsx]Informe'!$B$1:$D$300;3;false)</v>
      </c>
    </row>
    <row r="10" spans="2:22" ht="15.75" customHeight="1" x14ac:dyDescent="0.25">
      <c r="B10" s="35" t="s">
        <v>40</v>
      </c>
      <c r="C10" s="57" t="s">
        <v>41</v>
      </c>
      <c r="D10" s="40" t="s">
        <v>42</v>
      </c>
      <c r="E10" s="37"/>
      <c r="F10" s="37"/>
      <c r="G10" s="37"/>
      <c r="H10" s="37">
        <v>1</v>
      </c>
      <c r="I10" s="37"/>
      <c r="J10" s="37"/>
      <c r="K10" s="37"/>
      <c r="L10" s="37"/>
      <c r="M10" s="37"/>
      <c r="N10" s="37"/>
      <c r="O10" s="37">
        <v>1</v>
      </c>
      <c r="P10" s="37"/>
      <c r="Q10" s="71">
        <f>VLOOKUP("SUCURSAL:",[8]Informe!$B$1:$D$300,3,FALSE)</f>
        <v>0</v>
      </c>
      <c r="R10" s="37"/>
      <c r="S10" s="40">
        <f>SUM(Table1[[#This Row],[ENE]:[DIC]])</f>
        <v>2</v>
      </c>
      <c r="U10" s="2" t="str">
        <f>SUBSTITUTE(SUBSTITUTE(Table1[[#This Row],[SUC]]," ",""),"Geant","G")</f>
        <v>D08</v>
      </c>
      <c r="V10" s="2" t="str">
        <f t="shared" si="0"/>
        <v>=VLOOKUP("SUCURSAL:";'https://alutiposrl.sharepoint.com/sites/Creative/Documentos compartidos/Proyectos/DISCO/Disco 205-UY12/Información general/Planillas/[Disco 205-UY12 Planilla de registro de visita D08.xlsx]Informe'!$B$1:$D$300;3;false)</v>
      </c>
    </row>
    <row r="11" spans="2:22" ht="15.75" customHeight="1" x14ac:dyDescent="0.25">
      <c r="B11" s="35" t="s">
        <v>43</v>
      </c>
      <c r="C11" s="57" t="s">
        <v>44</v>
      </c>
      <c r="D11" s="40" t="s">
        <v>45</v>
      </c>
      <c r="E11" s="37"/>
      <c r="F11" s="37"/>
      <c r="G11" s="37"/>
      <c r="H11" s="37"/>
      <c r="I11" s="37">
        <v>1</v>
      </c>
      <c r="J11" s="37"/>
      <c r="K11" s="37"/>
      <c r="L11" s="37"/>
      <c r="M11" s="37"/>
      <c r="N11" s="37">
        <v>1</v>
      </c>
      <c r="O11" s="37"/>
      <c r="P11" s="37"/>
      <c r="Q11" s="71">
        <f>VLOOKUP("SUCURSAL:",[9]Informe!$B$1:$D$300,3,FALSE)</f>
        <v>0</v>
      </c>
      <c r="R11" s="37"/>
      <c r="S11" s="40">
        <f>SUM(Table1[[#This Row],[ENE]:[DIC]])</f>
        <v>2</v>
      </c>
      <c r="U11" s="2" t="str">
        <f>SUBSTITUTE(SUBSTITUTE(Table1[[#This Row],[SUC]]," ",""),"Geant","G")</f>
        <v>D09</v>
      </c>
      <c r="V11" s="2" t="str">
        <f t="shared" si="0"/>
        <v>=VLOOKUP("SUCURSAL:";'https://alutiposrl.sharepoint.com/sites/Creative/Documentos compartidos/Proyectos/DISCO/Disco 205-UY12/Información general/Planillas/[Disco 205-UY12 Planilla de registro de visita D09.xlsx]Informe'!$B$1:$D$300;3;false)</v>
      </c>
    </row>
    <row r="12" spans="2:22" ht="15.75" customHeight="1" x14ac:dyDescent="0.25">
      <c r="B12" s="35" t="s">
        <v>46</v>
      </c>
      <c r="C12" s="57" t="s">
        <v>47</v>
      </c>
      <c r="D12" s="40" t="s">
        <v>48</v>
      </c>
      <c r="E12" s="37"/>
      <c r="F12" s="37"/>
      <c r="G12" s="37">
        <v>1</v>
      </c>
      <c r="H12" s="37"/>
      <c r="I12" s="37"/>
      <c r="J12" s="37"/>
      <c r="K12" s="37"/>
      <c r="L12" s="37"/>
      <c r="M12" s="37">
        <v>1</v>
      </c>
      <c r="N12" s="37"/>
      <c r="O12" s="37"/>
      <c r="P12" s="37"/>
      <c r="Q12" s="71">
        <f>VLOOKUP("SUCURSAL:",[10]Informe!$B$1:$D$300,3,FALSE)</f>
        <v>0</v>
      </c>
      <c r="R12" s="37"/>
      <c r="S12" s="40">
        <f>SUM(Table1[[#This Row],[ENE]:[DIC]])</f>
        <v>2</v>
      </c>
      <c r="U12" s="2" t="str">
        <f>SUBSTITUTE(SUBSTITUTE(Table1[[#This Row],[SUC]]," ",""),"Geant","G")</f>
        <v>D10</v>
      </c>
      <c r="V12" s="2" t="str">
        <f t="shared" si="0"/>
        <v>=VLOOKUP("SUCURSAL:";'https://alutiposrl.sharepoint.com/sites/Creative/Documentos compartidos/Proyectos/DISCO/Disco 205-UY12/Información general/Planillas/[Disco 205-UY12 Planilla de registro de visita D10.xlsx]Informe'!$B$1:$D$300;3;false)</v>
      </c>
    </row>
    <row r="13" spans="2:22" ht="15.75" customHeight="1" x14ac:dyDescent="0.25">
      <c r="B13" s="35" t="s">
        <v>49</v>
      </c>
      <c r="C13" s="57" t="s">
        <v>50</v>
      </c>
      <c r="D13" s="40" t="s">
        <v>51</v>
      </c>
      <c r="E13" s="37"/>
      <c r="F13" s="37"/>
      <c r="G13" s="37"/>
      <c r="H13" s="37">
        <v>1</v>
      </c>
      <c r="I13" s="37"/>
      <c r="J13" s="37"/>
      <c r="K13" s="37"/>
      <c r="L13" s="37"/>
      <c r="M13" s="37"/>
      <c r="N13" s="37">
        <v>1</v>
      </c>
      <c r="O13" s="37"/>
      <c r="P13" s="37"/>
      <c r="Q13" s="71">
        <f>VLOOKUP("SUCURSAL:",[11]Informe!$B$1:$D$300,3,FALSE)</f>
        <v>0</v>
      </c>
      <c r="R13" s="37"/>
      <c r="S13" s="40">
        <f>SUM(Table1[[#This Row],[ENE]:[DIC]])</f>
        <v>2</v>
      </c>
      <c r="U13" s="2" t="str">
        <f>SUBSTITUTE(SUBSTITUTE(Table1[[#This Row],[SUC]]," ",""),"Geant","G")</f>
        <v>D11</v>
      </c>
      <c r="V13" s="2" t="str">
        <f t="shared" si="0"/>
        <v>=VLOOKUP("SUCURSAL:";'https://alutiposrl.sharepoint.com/sites/Creative/Documentos compartidos/Proyectos/DISCO/Disco 205-UY12/Información general/Planillas/[Disco 205-UY12 Planilla de registro de visita D11.xlsx]Informe'!$B$1:$D$300;3;false)</v>
      </c>
    </row>
    <row r="14" spans="2:22" ht="15.75" customHeight="1" x14ac:dyDescent="0.25">
      <c r="B14" s="35" t="s">
        <v>52</v>
      </c>
      <c r="C14" s="57" t="s">
        <v>53</v>
      </c>
      <c r="D14" s="40" t="s">
        <v>54</v>
      </c>
      <c r="E14" s="37">
        <v>1</v>
      </c>
      <c r="F14" s="37"/>
      <c r="G14" s="37"/>
      <c r="H14" s="37"/>
      <c r="I14" s="37"/>
      <c r="J14" s="37"/>
      <c r="K14" s="37">
        <v>1</v>
      </c>
      <c r="L14" s="37"/>
      <c r="M14" s="37"/>
      <c r="N14" s="37"/>
      <c r="O14" s="37"/>
      <c r="P14" s="37"/>
      <c r="Q14" s="71">
        <f>VLOOKUP("SUCURSAL:",[12]Informe!$B$1:$D$300,3,FALSE)</f>
        <v>0</v>
      </c>
      <c r="R14" s="37"/>
      <c r="S14" s="40">
        <f>SUM(Table1[[#This Row],[ENE]:[DIC]])</f>
        <v>2</v>
      </c>
      <c r="U14" s="2" t="str">
        <f>SUBSTITUTE(SUBSTITUTE(Table1[[#This Row],[SUC]]," ",""),"Geant","G")</f>
        <v>D12</v>
      </c>
      <c r="V14" s="2" t="str">
        <f t="shared" si="0"/>
        <v>=VLOOKUP("SUCURSAL:";'https://alutiposrl.sharepoint.com/sites/Creative/Documentos compartidos/Proyectos/DISCO/Disco 205-UY12/Información general/Planillas/[Disco 205-UY12 Planilla de registro de visita D12.xlsx]Informe'!$B$1:$D$300;3;false)</v>
      </c>
    </row>
    <row r="15" spans="2:22" ht="15.75" customHeight="1" x14ac:dyDescent="0.25">
      <c r="B15" s="35" t="s">
        <v>55</v>
      </c>
      <c r="C15" s="57" t="s">
        <v>56</v>
      </c>
      <c r="D15" s="40" t="s">
        <v>57</v>
      </c>
      <c r="E15" s="37"/>
      <c r="F15" s="37"/>
      <c r="G15" s="37"/>
      <c r="H15" s="37"/>
      <c r="I15" s="37">
        <v>1</v>
      </c>
      <c r="J15" s="37"/>
      <c r="K15" s="37"/>
      <c r="L15" s="37"/>
      <c r="M15" s="37"/>
      <c r="N15" s="37"/>
      <c r="O15" s="37">
        <v>1</v>
      </c>
      <c r="P15" s="37"/>
      <c r="Q15" s="71">
        <f>VLOOKUP("SUCURSAL:",[13]Informe!$B$1:$D$300,3,FALSE)</f>
        <v>0</v>
      </c>
      <c r="R15" s="37"/>
      <c r="S15" s="40">
        <f>SUM(Table1[[#This Row],[ENE]:[DIC]])</f>
        <v>2</v>
      </c>
      <c r="U15" s="2" t="str">
        <f>SUBSTITUTE(SUBSTITUTE(Table1[[#This Row],[SUC]]," ",""),"Geant","G")</f>
        <v>D13</v>
      </c>
      <c r="V15" s="2" t="str">
        <f t="shared" si="0"/>
        <v>=VLOOKUP("SUCURSAL:";'https://alutiposrl.sharepoint.com/sites/Creative/Documentos compartidos/Proyectos/DISCO/Disco 205-UY12/Información general/Planillas/[Disco 205-UY12 Planilla de registro de visita D13.xlsx]Informe'!$B$1:$D$300;3;false)</v>
      </c>
    </row>
    <row r="16" spans="2:22" ht="15.75" customHeight="1" x14ac:dyDescent="0.25">
      <c r="B16" s="72" t="s">
        <v>58</v>
      </c>
      <c r="C16" s="73" t="s">
        <v>59</v>
      </c>
      <c r="D16" s="74" t="s">
        <v>60</v>
      </c>
      <c r="E16" s="75"/>
      <c r="F16" s="75"/>
      <c r="G16" s="75"/>
      <c r="H16" s="75"/>
      <c r="I16" s="75">
        <v>1</v>
      </c>
      <c r="J16" s="75"/>
      <c r="K16" s="75"/>
      <c r="L16" s="75"/>
      <c r="M16" s="75"/>
      <c r="N16" s="75"/>
      <c r="O16" s="75"/>
      <c r="P16" s="75">
        <v>1</v>
      </c>
      <c r="Q16" s="71">
        <f>VLOOKUP("SUCURSAL:",[14]Informe!$B$1:$D$300,3,FALSE)</f>
        <v>0</v>
      </c>
      <c r="R16" s="37"/>
      <c r="S16" s="40">
        <f>SUM(Table1[[#This Row],[ENE]:[DIC]])</f>
        <v>2</v>
      </c>
      <c r="U16" s="2" t="str">
        <f>SUBSTITUTE(SUBSTITUTE(Table1[[#This Row],[SUC]]," ",""),"Geant","G")</f>
        <v>D14</v>
      </c>
      <c r="V16" s="2" t="str">
        <f t="shared" si="0"/>
        <v>=VLOOKUP("SUCURSAL:";'https://alutiposrl.sharepoint.com/sites/Creative/Documentos compartidos/Proyectos/DISCO/Disco 205-UY12/Información general/Planillas/[Disco 205-UY12 Planilla de registro de visita D14.xlsx]Informe'!$B$1:$D$300;3;false)</v>
      </c>
    </row>
    <row r="17" spans="2:22" ht="15" customHeight="1" x14ac:dyDescent="0.25">
      <c r="B17" s="35" t="s">
        <v>61</v>
      </c>
      <c r="C17" s="57" t="s">
        <v>62</v>
      </c>
      <c r="D17" s="40" t="s">
        <v>63</v>
      </c>
      <c r="E17" s="37"/>
      <c r="F17" s="37"/>
      <c r="G17" s="37"/>
      <c r="H17" s="37">
        <v>1</v>
      </c>
      <c r="I17" s="37"/>
      <c r="J17" s="37"/>
      <c r="K17" s="37"/>
      <c r="L17" s="37"/>
      <c r="M17" s="37"/>
      <c r="N17" s="37">
        <v>1</v>
      </c>
      <c r="O17" s="37"/>
      <c r="P17" s="37"/>
      <c r="Q17" s="71">
        <f>VLOOKUP("SUCURSAL:",[15]Informe!$B$1:$D$300,3,FALSE)</f>
        <v>0</v>
      </c>
      <c r="R17" s="37"/>
      <c r="S17" s="40">
        <f>SUM(Table1[[#This Row],[ENE]:[DIC]])</f>
        <v>2</v>
      </c>
      <c r="U17" s="2" t="str">
        <f>SUBSTITUTE(SUBSTITUTE(Table1[[#This Row],[SUC]]," ",""),"Geant","G")</f>
        <v>D15</v>
      </c>
      <c r="V17" s="2" t="str">
        <f t="shared" si="0"/>
        <v>=VLOOKUP("SUCURSAL:";'https://alutiposrl.sharepoint.com/sites/Creative/Documentos compartidos/Proyectos/DISCO/Disco 205-UY12/Información general/Planillas/[Disco 205-UY12 Planilla de registro de visita D15.xlsx]Informe'!$B$1:$D$300;3;false)</v>
      </c>
    </row>
    <row r="18" spans="2:22" ht="15.75" customHeight="1" x14ac:dyDescent="0.25">
      <c r="B18" s="72" t="s">
        <v>64</v>
      </c>
      <c r="C18" s="73" t="s">
        <v>65</v>
      </c>
      <c r="D18" s="74" t="s">
        <v>66</v>
      </c>
      <c r="E18" s="75"/>
      <c r="F18" s="75"/>
      <c r="G18" s="75"/>
      <c r="H18" s="75"/>
      <c r="I18" s="75">
        <v>1</v>
      </c>
      <c r="J18" s="75"/>
      <c r="K18" s="75"/>
      <c r="L18" s="75"/>
      <c r="M18" s="75"/>
      <c r="N18" s="75"/>
      <c r="O18" s="75">
        <v>1</v>
      </c>
      <c r="P18" s="75"/>
      <c r="Q18" s="71">
        <f>VLOOKUP("SUCURSAL:",[16]Informe!$B$1:$D$300,3,FALSE)</f>
        <v>0</v>
      </c>
      <c r="R18" s="37"/>
      <c r="S18" s="40">
        <f>SUM(Table1[[#This Row],[ENE]:[DIC]])</f>
        <v>2</v>
      </c>
      <c r="U18" s="2" t="str">
        <f>SUBSTITUTE(SUBSTITUTE(Table1[[#This Row],[SUC]]," ",""),"Geant","G")</f>
        <v>D16</v>
      </c>
      <c r="V18" s="2" t="str">
        <f t="shared" si="0"/>
        <v>=VLOOKUP("SUCURSAL:";'https://alutiposrl.sharepoint.com/sites/Creative/Documentos compartidos/Proyectos/DISCO/Disco 205-UY12/Información general/Planillas/[Disco 205-UY12 Planilla de registro de visita D16.xlsx]Informe'!$B$1:$D$300;3;false)</v>
      </c>
    </row>
    <row r="19" spans="2:22" ht="15.75" customHeight="1" x14ac:dyDescent="0.25">
      <c r="B19" s="35" t="s">
        <v>67</v>
      </c>
      <c r="C19" s="57" t="s">
        <v>68</v>
      </c>
      <c r="D19" s="40" t="s">
        <v>69</v>
      </c>
      <c r="E19" s="37"/>
      <c r="F19" s="37"/>
      <c r="G19" s="37"/>
      <c r="H19" s="37"/>
      <c r="I19" s="37"/>
      <c r="J19" s="37">
        <v>1</v>
      </c>
      <c r="K19" s="37"/>
      <c r="L19" s="37"/>
      <c r="M19" s="37"/>
      <c r="N19" s="37"/>
      <c r="O19" s="37"/>
      <c r="P19" s="37">
        <v>1</v>
      </c>
      <c r="Q19" s="71">
        <f>VLOOKUP("SUCURSAL:",[17]Informe!$B$1:$D$304,3,FALSE)</f>
        <v>0</v>
      </c>
      <c r="R19" s="37"/>
      <c r="S19" s="40">
        <f>SUM(Table1[[#This Row],[ENE]:[DIC]])</f>
        <v>2</v>
      </c>
      <c r="U19" s="2" t="str">
        <f>SUBSTITUTE(SUBSTITUTE(Table1[[#This Row],[SUC]]," ",""),"Geant","G")</f>
        <v>D17</v>
      </c>
      <c r="V19" s="2" t="str">
        <f t="shared" si="0"/>
        <v>=VLOOKUP("SUCURSAL:";'https://alutiposrl.sharepoint.com/sites/Creative/Documentos compartidos/Proyectos/DISCO/Disco 205-UY12/Información general/Planillas/[Disco 205-UY12 Planilla de registro de visita D17.xlsx]Informe'!$B$1:$D$300;3;false)</v>
      </c>
    </row>
    <row r="20" spans="2:22" ht="15.75" customHeight="1" x14ac:dyDescent="0.25">
      <c r="B20" s="72" t="s">
        <v>70</v>
      </c>
      <c r="C20" s="73" t="s">
        <v>71</v>
      </c>
      <c r="D20" s="74" t="s">
        <v>72</v>
      </c>
      <c r="E20" s="75"/>
      <c r="F20" s="75">
        <v>1</v>
      </c>
      <c r="G20" s="75"/>
      <c r="H20" s="75"/>
      <c r="I20" s="75"/>
      <c r="J20" s="75"/>
      <c r="K20" s="75"/>
      <c r="L20" s="75">
        <v>1</v>
      </c>
      <c r="M20" s="75"/>
      <c r="N20" s="75"/>
      <c r="O20" s="75"/>
      <c r="P20" s="75"/>
      <c r="Q20" s="71">
        <f>VLOOKUP("SUCURSAL:",[18]Informe!$B$1:$D$300,3,FALSE)</f>
        <v>0</v>
      </c>
      <c r="R20" s="37"/>
      <c r="S20" s="40">
        <f>SUM(Table1[[#This Row],[ENE]:[DIC]])</f>
        <v>2</v>
      </c>
      <c r="U20" s="2" t="str">
        <f>SUBSTITUTE(SUBSTITUTE(Table1[[#This Row],[SUC]]," ",""),"Geant","G")</f>
        <v>D18</v>
      </c>
      <c r="V20" s="2" t="str">
        <f t="shared" si="0"/>
        <v>=VLOOKUP("SUCURSAL:";'https://alutiposrl.sharepoint.com/sites/Creative/Documentos compartidos/Proyectos/DISCO/Disco 205-UY12/Información general/Planillas/[Disco 205-UY12 Planilla de registro de visita D18.xlsx]Informe'!$B$1:$D$300;3;false)</v>
      </c>
    </row>
    <row r="21" spans="2:22" ht="15.75" customHeight="1" x14ac:dyDescent="0.25">
      <c r="B21" s="35" t="s">
        <v>73</v>
      </c>
      <c r="C21" s="57" t="s">
        <v>74</v>
      </c>
      <c r="D21" s="40" t="s">
        <v>75</v>
      </c>
      <c r="E21" s="37">
        <v>1</v>
      </c>
      <c r="F21" s="37"/>
      <c r="G21" s="37"/>
      <c r="H21" s="37"/>
      <c r="I21" s="37"/>
      <c r="J21" s="37"/>
      <c r="K21" s="37"/>
      <c r="L21" s="37">
        <v>1</v>
      </c>
      <c r="M21" s="37"/>
      <c r="N21" s="37"/>
      <c r="O21" s="37"/>
      <c r="P21" s="37"/>
      <c r="Q21" s="71">
        <f>VLOOKUP("SUCURSAL:",[19]Informe!$B$1:$D$300,3,FALSE)</f>
        <v>0</v>
      </c>
      <c r="R21" s="37"/>
      <c r="S21" s="40">
        <f>SUM(Table1[[#This Row],[ENE]:[DIC]])</f>
        <v>2</v>
      </c>
      <c r="U21" s="2" t="str">
        <f>SUBSTITUTE(SUBSTITUTE(Table1[[#This Row],[SUC]]," ",""),"Geant","G")</f>
        <v>D19</v>
      </c>
      <c r="V21" s="2" t="str">
        <f t="shared" si="0"/>
        <v>=VLOOKUP("SUCURSAL:";'https://alutiposrl.sharepoint.com/sites/Creative/Documentos compartidos/Proyectos/DISCO/Disco 205-UY12/Información general/Planillas/[Disco 205-UY12 Planilla de registro de visita D19.xlsx]Informe'!$B$1:$D$300;3;false)</v>
      </c>
    </row>
    <row r="22" spans="2:22" ht="15.75" customHeight="1" x14ac:dyDescent="0.25">
      <c r="B22" s="35" t="s">
        <v>76</v>
      </c>
      <c r="C22" s="57" t="s">
        <v>77</v>
      </c>
      <c r="D22" s="40" t="s">
        <v>78</v>
      </c>
      <c r="E22" s="37"/>
      <c r="F22" s="37"/>
      <c r="G22" s="37">
        <v>1</v>
      </c>
      <c r="H22" s="37"/>
      <c r="I22" s="37"/>
      <c r="J22" s="37"/>
      <c r="K22" s="37"/>
      <c r="L22" s="37"/>
      <c r="M22" s="37">
        <v>1</v>
      </c>
      <c r="N22" s="37"/>
      <c r="O22" s="37"/>
      <c r="P22" s="37"/>
      <c r="Q22" s="71">
        <f>VLOOKUP("SUCURSAL:",[20]Informe!$B$1:$D$300,3,FALSE)</f>
        <v>0</v>
      </c>
      <c r="R22" s="37"/>
      <c r="S22" s="40">
        <f>SUM(Table1[[#This Row],[ENE]:[DIC]])</f>
        <v>2</v>
      </c>
      <c r="U22" s="2" t="str">
        <f>SUBSTITUTE(SUBSTITUTE(Table1[[#This Row],[SUC]]," ",""),"Geant","G")</f>
        <v>D20</v>
      </c>
      <c r="V22" s="2" t="str">
        <f t="shared" si="0"/>
        <v>=VLOOKUP("SUCURSAL:";'https://alutiposrl.sharepoint.com/sites/Creative/Documentos compartidos/Proyectos/DISCO/Disco 205-UY12/Información general/Planillas/[Disco 205-UY12 Planilla de registro de visita D20.xlsx]Informe'!$B$1:$D$300;3;false)</v>
      </c>
    </row>
    <row r="23" spans="2:22" ht="15.75" customHeight="1" x14ac:dyDescent="0.25">
      <c r="B23" s="35" t="s">
        <v>79</v>
      </c>
      <c r="C23" s="57" t="s">
        <v>80</v>
      </c>
      <c r="D23" s="40" t="s">
        <v>81</v>
      </c>
      <c r="E23" s="37">
        <v>1</v>
      </c>
      <c r="F23" s="37"/>
      <c r="G23" s="37"/>
      <c r="H23" s="37"/>
      <c r="I23" s="37"/>
      <c r="J23" s="37"/>
      <c r="K23" s="37">
        <v>1</v>
      </c>
      <c r="L23" s="37"/>
      <c r="M23" s="37"/>
      <c r="N23" s="37"/>
      <c r="O23" s="37"/>
      <c r="P23" s="37"/>
      <c r="Q23" s="71">
        <f>VLOOKUP("SUCURSAL:",[21]Informe!$B$1:$D$300,3,FALSE)</f>
        <v>0</v>
      </c>
      <c r="R23" s="37"/>
      <c r="S23" s="40">
        <f>SUM(Table1[[#This Row],[ENE]:[DIC]])</f>
        <v>2</v>
      </c>
      <c r="U23" s="2" t="str">
        <f>SUBSTITUTE(SUBSTITUTE(Table1[[#This Row],[SUC]]," ",""),"Geant","G")</f>
        <v>D21</v>
      </c>
      <c r="V23" s="2" t="str">
        <f t="shared" si="0"/>
        <v>=VLOOKUP("SUCURSAL:";'https://alutiposrl.sharepoint.com/sites/Creative/Documentos compartidos/Proyectos/DISCO/Disco 205-UY12/Información general/Planillas/[Disco 205-UY12 Planilla de registro de visita D21.xlsx]Informe'!$B$1:$D$300;3;false)</v>
      </c>
    </row>
    <row r="24" spans="2:22" ht="15.75" customHeight="1" x14ac:dyDescent="0.25">
      <c r="B24" s="35" t="s">
        <v>82</v>
      </c>
      <c r="C24" s="57" t="s">
        <v>83</v>
      </c>
      <c r="D24" s="40" t="s">
        <v>84</v>
      </c>
      <c r="E24" s="37">
        <v>1</v>
      </c>
      <c r="F24" s="37"/>
      <c r="G24" s="37"/>
      <c r="H24" s="37"/>
      <c r="I24" s="37"/>
      <c r="J24" s="37"/>
      <c r="K24" s="37">
        <v>1</v>
      </c>
      <c r="L24" s="37"/>
      <c r="M24" s="37"/>
      <c r="N24" s="37"/>
      <c r="O24" s="37"/>
      <c r="P24" s="37"/>
      <c r="Q24" s="71">
        <f>VLOOKUP("SUCURSAL:",[22]Informe!$B$1:$D$300,3,FALSE)</f>
        <v>0</v>
      </c>
      <c r="R24" s="37"/>
      <c r="S24" s="40">
        <f>SUM(Table1[[#This Row],[ENE]:[DIC]])</f>
        <v>2</v>
      </c>
      <c r="U24" s="2" t="str">
        <f>SUBSTITUTE(SUBSTITUTE(Table1[[#This Row],[SUC]]," ",""),"Geant","G")</f>
        <v>D22</v>
      </c>
      <c r="V24" s="2" t="str">
        <f t="shared" si="0"/>
        <v>=VLOOKUP("SUCURSAL:";'https://alutiposrl.sharepoint.com/sites/Creative/Documentos compartidos/Proyectos/DISCO/Disco 205-UY12/Información general/Planillas/[Disco 205-UY12 Planilla de registro de visita D22.xlsx]Informe'!$B$1:$D$300;3;false)</v>
      </c>
    </row>
    <row r="25" spans="2:22" ht="15.75" customHeight="1" x14ac:dyDescent="0.25">
      <c r="B25" s="35" t="s">
        <v>85</v>
      </c>
      <c r="C25" s="57" t="s">
        <v>86</v>
      </c>
      <c r="D25" s="40" t="s">
        <v>87</v>
      </c>
      <c r="E25" s="37"/>
      <c r="F25" s="37">
        <v>1</v>
      </c>
      <c r="G25" s="37"/>
      <c r="H25" s="37"/>
      <c r="I25" s="37"/>
      <c r="J25" s="37"/>
      <c r="K25" s="37"/>
      <c r="L25" s="37"/>
      <c r="M25" s="37">
        <v>1</v>
      </c>
      <c r="N25" s="37"/>
      <c r="O25" s="37"/>
      <c r="P25" s="37"/>
      <c r="Q25" s="71">
        <f>VLOOKUP("SUCURSAL:",[23]Informe!$B$1:$D$300,3,FALSE)</f>
        <v>0</v>
      </c>
      <c r="R25" s="37"/>
      <c r="S25" s="40">
        <f>SUM(Table1[[#This Row],[ENE]:[DIC]])</f>
        <v>2</v>
      </c>
      <c r="U25" s="2" t="str">
        <f>SUBSTITUTE(SUBSTITUTE(Table1[[#This Row],[SUC]]," ",""),"Geant","G")</f>
        <v>D23</v>
      </c>
      <c r="V25" s="2" t="str">
        <f t="shared" si="0"/>
        <v>=VLOOKUP("SUCURSAL:";'https://alutiposrl.sharepoint.com/sites/Creative/Documentos compartidos/Proyectos/DISCO/Disco 205-UY12/Información general/Planillas/[Disco 205-UY12 Planilla de registro de visita D23.xlsx]Informe'!$B$1:$D$300;3;false)</v>
      </c>
    </row>
    <row r="26" spans="2:22" ht="15.75" customHeight="1" x14ac:dyDescent="0.25">
      <c r="B26" s="35" t="s">
        <v>88</v>
      </c>
      <c r="C26" s="57" t="s">
        <v>89</v>
      </c>
      <c r="D26" s="40" t="s">
        <v>90</v>
      </c>
      <c r="E26" s="37"/>
      <c r="F26" s="37"/>
      <c r="G26" s="37">
        <v>1</v>
      </c>
      <c r="H26" s="37"/>
      <c r="I26" s="37"/>
      <c r="J26" s="37"/>
      <c r="K26" s="37"/>
      <c r="L26" s="37"/>
      <c r="M26" s="37">
        <v>1</v>
      </c>
      <c r="N26" s="37"/>
      <c r="O26" s="37"/>
      <c r="P26" s="37"/>
      <c r="Q26" s="71">
        <f>VLOOKUP("SUCURSAL:",[24]Informe!$B$1:$D$300,3,FALSE)</f>
        <v>0</v>
      </c>
      <c r="R26" s="37"/>
      <c r="S26" s="40">
        <f>SUM(Table1[[#This Row],[ENE]:[DIC]])</f>
        <v>2</v>
      </c>
      <c r="U26" s="2" t="str">
        <f>SUBSTITUTE(SUBSTITUTE(Table1[[#This Row],[SUC]]," ",""),"Geant","G")</f>
        <v>D24</v>
      </c>
      <c r="V26" s="2" t="str">
        <f t="shared" si="0"/>
        <v>=VLOOKUP("SUCURSAL:";'https://alutiposrl.sharepoint.com/sites/Creative/Documentos compartidos/Proyectos/DISCO/Disco 205-UY12/Información general/Planillas/[Disco 205-UY12 Planilla de registro de visita D24.xlsx]Informe'!$B$1:$D$300;3;false)</v>
      </c>
    </row>
    <row r="27" spans="2:22" ht="15.75" customHeight="1" x14ac:dyDescent="0.25">
      <c r="B27" s="72" t="s">
        <v>91</v>
      </c>
      <c r="C27" s="73" t="s">
        <v>92</v>
      </c>
      <c r="D27" s="74" t="s">
        <v>93</v>
      </c>
      <c r="E27" s="75"/>
      <c r="F27" s="75"/>
      <c r="G27" s="75"/>
      <c r="H27" s="75">
        <v>1</v>
      </c>
      <c r="I27" s="75"/>
      <c r="J27" s="75"/>
      <c r="K27" s="75"/>
      <c r="L27" s="75"/>
      <c r="M27" s="75"/>
      <c r="N27" s="75">
        <v>1</v>
      </c>
      <c r="O27" s="75"/>
      <c r="P27" s="75"/>
      <c r="Q27" s="71">
        <f>VLOOKUP("SUCURSAL:",[25]Informe!$B$1:$D$300,3,FALSE)</f>
        <v>0</v>
      </c>
      <c r="R27" s="37"/>
      <c r="S27" s="40">
        <f>SUM(Table1[[#This Row],[ENE]:[DIC]])</f>
        <v>2</v>
      </c>
      <c r="U27" s="2" t="str">
        <f>SUBSTITUTE(SUBSTITUTE(Table1[[#This Row],[SUC]]," ",""),"Geant","G")</f>
        <v>D25</v>
      </c>
      <c r="V27" s="2" t="str">
        <f t="shared" si="0"/>
        <v>=VLOOKUP("SUCURSAL:";'https://alutiposrl.sharepoint.com/sites/Creative/Documentos compartidos/Proyectos/DISCO/Disco 205-UY12/Información general/Planillas/[Disco 205-UY12 Planilla de registro de visita D25.xlsx]Informe'!$B$1:$D$300;3;false)</v>
      </c>
    </row>
    <row r="28" spans="2:22" ht="15.75" customHeight="1" x14ac:dyDescent="0.25">
      <c r="B28" s="35" t="s">
        <v>94</v>
      </c>
      <c r="C28" s="57" t="s">
        <v>95</v>
      </c>
      <c r="D28" s="40" t="s">
        <v>96</v>
      </c>
      <c r="E28" s="37"/>
      <c r="F28" s="37"/>
      <c r="G28" s="37"/>
      <c r="H28" s="37"/>
      <c r="I28" s="37">
        <v>1</v>
      </c>
      <c r="J28" s="37"/>
      <c r="K28" s="37"/>
      <c r="L28" s="37"/>
      <c r="M28" s="37"/>
      <c r="N28" s="37"/>
      <c r="O28" s="37">
        <v>1</v>
      </c>
      <c r="P28" s="37"/>
      <c r="Q28" s="71">
        <f>VLOOKUP("SUCURSAL:",[26]Informe!$B$1:$D$300,3,FALSE)</f>
        <v>0</v>
      </c>
      <c r="R28" s="37"/>
      <c r="S28" s="40">
        <f>SUM(Table1[[#This Row],[ENE]:[DIC]])</f>
        <v>2</v>
      </c>
      <c r="U28" s="2" t="str">
        <f>SUBSTITUTE(SUBSTITUTE(Table1[[#This Row],[SUC]]," ",""),"Geant","G")</f>
        <v>D26</v>
      </c>
      <c r="V28" s="2" t="str">
        <f t="shared" si="0"/>
        <v>=VLOOKUP("SUCURSAL:";'https://alutiposrl.sharepoint.com/sites/Creative/Documentos compartidos/Proyectos/DISCO/Disco 205-UY12/Información general/Planillas/[Disco 205-UY12 Planilla de registro de visita D26.xlsx]Informe'!$B$1:$D$300;3;false)</v>
      </c>
    </row>
    <row r="29" spans="2:22" ht="15" customHeight="1" x14ac:dyDescent="0.25">
      <c r="B29" s="36" t="s">
        <v>97</v>
      </c>
      <c r="C29" s="58" t="s">
        <v>98</v>
      </c>
      <c r="D29" s="40" t="s">
        <v>99</v>
      </c>
      <c r="E29" s="37"/>
      <c r="F29" s="37"/>
      <c r="G29" s="37"/>
      <c r="H29" s="37">
        <v>1</v>
      </c>
      <c r="I29" s="37"/>
      <c r="J29" s="37"/>
      <c r="K29" s="37"/>
      <c r="L29" s="37"/>
      <c r="M29" s="37"/>
      <c r="N29" s="37">
        <v>1</v>
      </c>
      <c r="O29" s="37"/>
      <c r="P29" s="37"/>
      <c r="Q29" s="71" t="e">
        <f>VLOOKUP("SUCURSAL:",[27]Informe!$B$1:$D$300,3,FALSE)</f>
        <v>#N/A</v>
      </c>
      <c r="R29" s="37"/>
      <c r="S29" s="40">
        <f>SUM(Table1[[#This Row],[ENE]:[DIC]])</f>
        <v>2</v>
      </c>
      <c r="U29" s="2" t="str">
        <f>SUBSTITUTE(SUBSTITUTE(Table1[[#This Row],[SUC]]," ",""),"Geant","G")</f>
        <v>D27</v>
      </c>
      <c r="V29" s="2" t="str">
        <f t="shared" si="0"/>
        <v>=VLOOKUP("SUCURSAL:";'https://alutiposrl.sharepoint.com/sites/Creative/Documentos compartidos/Proyectos/DISCO/Disco 205-UY12/Información general/Planillas/[Disco 205-UY12 Planilla de registro de visita D27.xlsx]Informe'!$B$1:$D$300;3;false)</v>
      </c>
    </row>
    <row r="30" spans="2:22" ht="15.75" customHeight="1" x14ac:dyDescent="0.25">
      <c r="B30" s="36" t="s">
        <v>100</v>
      </c>
      <c r="C30" s="58" t="s">
        <v>101</v>
      </c>
      <c r="D30" s="40" t="s">
        <v>102</v>
      </c>
      <c r="E30" s="37"/>
      <c r="F30" s="37">
        <v>1</v>
      </c>
      <c r="G30" s="37"/>
      <c r="H30" s="37"/>
      <c r="I30" s="37"/>
      <c r="J30" s="37"/>
      <c r="K30" s="37"/>
      <c r="L30" s="37"/>
      <c r="M30" s="37">
        <v>1</v>
      </c>
      <c r="N30" s="37"/>
      <c r="O30" s="37"/>
      <c r="P30" s="37"/>
      <c r="Q30" s="71">
        <f>VLOOKUP("SUCURSAL:",[28]Informe!$B$1:$D$300,3,FALSE)</f>
        <v>0</v>
      </c>
      <c r="R30" s="37"/>
      <c r="S30" s="40">
        <f>SUM(Table1[[#This Row],[ENE]:[DIC]])</f>
        <v>2</v>
      </c>
      <c r="U30" s="2" t="str">
        <f>SUBSTITUTE(SUBSTITUTE(Table1[[#This Row],[SUC]]," ",""),"Geant","G")</f>
        <v>D28</v>
      </c>
      <c r="V30" s="2" t="str">
        <f t="shared" si="0"/>
        <v>=VLOOKUP("SUCURSAL:";'https://alutiposrl.sharepoint.com/sites/Creative/Documentos compartidos/Proyectos/DISCO/Disco 205-UY12/Información general/Planillas/[Disco 205-UY12 Planilla de registro de visita D28.xlsx]Informe'!$B$1:$D$300;3;false)</v>
      </c>
    </row>
    <row r="31" spans="2:22" ht="15.75" customHeight="1" x14ac:dyDescent="0.25">
      <c r="B31" s="35" t="s">
        <v>103</v>
      </c>
      <c r="C31" s="57" t="s">
        <v>104</v>
      </c>
      <c r="D31" s="40" t="s">
        <v>105</v>
      </c>
      <c r="E31" s="37"/>
      <c r="F31" s="37"/>
      <c r="G31" s="37"/>
      <c r="H31" s="37"/>
      <c r="I31" s="37">
        <v>1</v>
      </c>
      <c r="J31" s="37"/>
      <c r="K31" s="37"/>
      <c r="L31" s="37"/>
      <c r="M31" s="37"/>
      <c r="N31" s="37"/>
      <c r="O31" s="37">
        <v>1</v>
      </c>
      <c r="P31" s="37"/>
      <c r="Q31" s="71">
        <f>VLOOKUP("SUCURSAL:",[29]Informe!$B$1:$D$258,3,FALSE)</f>
        <v>0</v>
      </c>
      <c r="R31" s="37"/>
      <c r="S31" s="40">
        <f>SUM(Table1[[#This Row],[ENE]:[DIC]])</f>
        <v>2</v>
      </c>
      <c r="U31" s="2" t="str">
        <f>SUBSTITUTE(SUBSTITUTE(Table1[[#This Row],[SUC]]," ",""),"Geant","G")</f>
        <v>DV01</v>
      </c>
      <c r="V31" s="2" t="str">
        <f t="shared" si="0"/>
        <v>=VLOOKUP("SUCURSAL:";'https://alutiposrl.sharepoint.com/sites/Creative/Documentos compartidos/Proyectos/DISCO/Disco 205-UY12/Información general/Planillas/[Disco 205-UY12 Planilla de registro de visita DV01.xlsx]Informe'!$B$1:$D$300;3;false)</v>
      </c>
    </row>
    <row r="32" spans="2:22" ht="15.75" customHeight="1" x14ac:dyDescent="0.25">
      <c r="B32" s="35" t="s">
        <v>106</v>
      </c>
      <c r="C32" s="57" t="s">
        <v>107</v>
      </c>
      <c r="D32" s="40" t="s">
        <v>108</v>
      </c>
      <c r="E32" s="37"/>
      <c r="F32" s="37"/>
      <c r="G32" s="37"/>
      <c r="H32" s="37"/>
      <c r="I32" s="37"/>
      <c r="J32" s="37">
        <v>1</v>
      </c>
      <c r="K32" s="37"/>
      <c r="L32" s="37"/>
      <c r="M32" s="37"/>
      <c r="N32" s="37"/>
      <c r="O32" s="37"/>
      <c r="P32" s="37">
        <v>1</v>
      </c>
      <c r="Q32" s="71">
        <f>VLOOKUP("SUCURSAL:",[30]Informe!$B$1:$D$296,3,FALSE)</f>
        <v>0</v>
      </c>
      <c r="R32" s="37"/>
      <c r="S32" s="40">
        <f>SUM(Table1[[#This Row],[ENE]:[DIC]])</f>
        <v>2</v>
      </c>
      <c r="U32" s="2" t="str">
        <f>SUBSTITUTE(SUBSTITUTE(Table1[[#This Row],[SUC]]," ",""),"Geant","G")</f>
        <v>DV02</v>
      </c>
      <c r="V32" s="2" t="str">
        <f t="shared" si="0"/>
        <v>=VLOOKUP("SUCURSAL:";'https://alutiposrl.sharepoint.com/sites/Creative/Documentos compartidos/Proyectos/DISCO/Disco 205-UY12/Información general/Planillas/[Disco 205-UY12 Planilla de registro de visita DV02.xlsx]Informe'!$B$1:$D$300;3;false)</v>
      </c>
    </row>
    <row r="33" spans="2:22" ht="15.75" customHeight="1" x14ac:dyDescent="0.25">
      <c r="B33" s="36" t="s">
        <v>109</v>
      </c>
      <c r="C33" s="58" t="s">
        <v>110</v>
      </c>
      <c r="D33" s="40" t="s">
        <v>111</v>
      </c>
      <c r="E33" s="37">
        <v>1</v>
      </c>
      <c r="F33" s="37"/>
      <c r="G33" s="37"/>
      <c r="H33" s="37"/>
      <c r="I33" s="37"/>
      <c r="J33" s="37"/>
      <c r="K33" s="37">
        <v>1</v>
      </c>
      <c r="L33" s="37"/>
      <c r="M33" s="37"/>
      <c r="N33" s="37"/>
      <c r="O33" s="37"/>
      <c r="P33" s="37"/>
      <c r="Q33" s="71">
        <f>VLOOKUP("SUCURSAL:",[31]Informe!$B$1:$D$300,3,FALSE)</f>
        <v>0</v>
      </c>
      <c r="R33" s="37"/>
      <c r="S33" s="40">
        <f>SUM(Table1[[#This Row],[ENE]:[DIC]])</f>
        <v>2</v>
      </c>
      <c r="U33" s="2" t="str">
        <f>SUBSTITUTE(SUBSTITUTE(Table1[[#This Row],[SUC]]," ",""),"Geant","G")</f>
        <v>DV03</v>
      </c>
      <c r="V33" s="2" t="str">
        <f t="shared" si="0"/>
        <v>=VLOOKUP("SUCURSAL:";'https://alutiposrl.sharepoint.com/sites/Creative/Documentos compartidos/Proyectos/DISCO/Disco 205-UY12/Información general/Planillas/[Disco 205-UY12 Planilla de registro de visita DV03.xlsx]Informe'!$B$1:$D$300;3;false)</v>
      </c>
    </row>
    <row r="34" spans="2:22" ht="15.75" customHeight="1" x14ac:dyDescent="0.25">
      <c r="B34" s="35" t="s">
        <v>112</v>
      </c>
      <c r="C34" s="57" t="s">
        <v>113</v>
      </c>
      <c r="D34" s="40" t="s">
        <v>114</v>
      </c>
      <c r="E34" s="37"/>
      <c r="F34" s="37">
        <v>1</v>
      </c>
      <c r="G34" s="37"/>
      <c r="H34" s="37"/>
      <c r="I34" s="37"/>
      <c r="J34" s="37"/>
      <c r="K34" s="37"/>
      <c r="L34" s="37">
        <v>1</v>
      </c>
      <c r="M34" s="37"/>
      <c r="N34" s="37"/>
      <c r="O34" s="37"/>
      <c r="P34" s="37"/>
      <c r="Q34" s="71">
        <f>VLOOKUP("SUCURSAL:",[32]Informe!$B$1:$D$300,3,FALSE)</f>
        <v>0</v>
      </c>
      <c r="R34" s="37"/>
      <c r="S34" s="40">
        <f>SUM(Table1[[#This Row],[ENE]:[DIC]])</f>
        <v>2</v>
      </c>
      <c r="U34" s="2" t="str">
        <f>SUBSTITUTE(SUBSTITUTE(Table1[[#This Row],[SUC]]," ",""),"Geant","G")</f>
        <v>DV04</v>
      </c>
      <c r="V34" s="2" t="str">
        <f t="shared" si="0"/>
        <v>=VLOOKUP("SUCURSAL:";'https://alutiposrl.sharepoint.com/sites/Creative/Documentos compartidos/Proyectos/DISCO/Disco 205-UY12/Información general/Planillas/[Disco 205-UY12 Planilla de registro de visita DV04.xlsx]Informe'!$B$1:$D$300;3;false)</v>
      </c>
    </row>
    <row r="35" spans="2:22" ht="15.75" customHeight="1" x14ac:dyDescent="0.25">
      <c r="B35" s="35" t="s">
        <v>115</v>
      </c>
      <c r="C35" s="57" t="s">
        <v>116</v>
      </c>
      <c r="D35" s="40" t="s">
        <v>117</v>
      </c>
      <c r="E35" s="37"/>
      <c r="F35" s="37"/>
      <c r="G35" s="37">
        <v>1</v>
      </c>
      <c r="H35" s="37"/>
      <c r="I35" s="37"/>
      <c r="J35" s="37"/>
      <c r="K35" s="37"/>
      <c r="L35" s="37">
        <v>1</v>
      </c>
      <c r="M35" s="37"/>
      <c r="N35" s="37"/>
      <c r="O35" s="37"/>
      <c r="P35" s="37"/>
      <c r="Q35" s="71">
        <f>VLOOKUP("SUCURSAL:",[33]Informe!$B$1:$D$298,3,FALSE)</f>
        <v>0</v>
      </c>
      <c r="R35" s="37"/>
      <c r="S35" s="40">
        <f>SUM(Table1[[#This Row],[ENE]:[DIC]])</f>
        <v>2</v>
      </c>
      <c r="U35" s="2" t="str">
        <f>SUBSTITUTE(SUBSTITUTE(Table1[[#This Row],[SUC]]," ",""),"Geant","G")</f>
        <v>DV05</v>
      </c>
      <c r="V35" s="2" t="str">
        <f t="shared" si="0"/>
        <v>=VLOOKUP("SUCURSAL:";'https://alutiposrl.sharepoint.com/sites/Creative/Documentos compartidos/Proyectos/DISCO/Disco 205-UY12/Información general/Planillas/[Disco 205-UY12 Planilla de registro de visita DV05.xlsx]Informe'!$B$1:$D$300;3;false)</v>
      </c>
    </row>
    <row r="36" spans="2:22" ht="15.75" customHeight="1" x14ac:dyDescent="0.25">
      <c r="B36" s="36" t="s">
        <v>118</v>
      </c>
      <c r="C36" s="58" t="s">
        <v>119</v>
      </c>
      <c r="D36" s="40" t="s">
        <v>120</v>
      </c>
      <c r="E36" s="37"/>
      <c r="F36" s="37"/>
      <c r="G36" s="37"/>
      <c r="H36" s="37"/>
      <c r="I36" s="37"/>
      <c r="J36" s="37">
        <v>1</v>
      </c>
      <c r="K36" s="37"/>
      <c r="L36" s="37"/>
      <c r="M36" s="37"/>
      <c r="N36" s="37"/>
      <c r="O36" s="37"/>
      <c r="P36" s="37">
        <v>1</v>
      </c>
      <c r="Q36" s="71">
        <f>VLOOKUP("SUCURSAL:",[34]Informe!$B$1:$D$290,3,FALSE)</f>
        <v>0</v>
      </c>
      <c r="R36" s="37"/>
      <c r="S36" s="40">
        <f>SUM(Table1[[#This Row],[ENE]:[DIC]])</f>
        <v>2</v>
      </c>
      <c r="U36" s="2" t="str">
        <f>SUBSTITUTE(SUBSTITUTE(Table1[[#This Row],[SUC]]," ",""),"Geant","G")</f>
        <v>DV06</v>
      </c>
      <c r="V36" s="2" t="str">
        <f t="shared" si="0"/>
        <v>=VLOOKUP("SUCURSAL:";'https://alutiposrl.sharepoint.com/sites/Creative/Documentos compartidos/Proyectos/DISCO/Disco 205-UY12/Información general/Planillas/[Disco 205-UY12 Planilla de registro de visita DV06.xlsx]Informe'!$B$1:$D$300;3;false)</v>
      </c>
    </row>
    <row r="37" spans="2:22" ht="15.75" customHeight="1" x14ac:dyDescent="0.25">
      <c r="B37" s="35" t="s">
        <v>121</v>
      </c>
      <c r="C37" s="57" t="s">
        <v>122</v>
      </c>
      <c r="D37" s="40" t="s">
        <v>123</v>
      </c>
      <c r="E37" s="37"/>
      <c r="F37" s="37"/>
      <c r="G37" s="37"/>
      <c r="H37" s="37"/>
      <c r="I37" s="37"/>
      <c r="J37" s="37">
        <v>1</v>
      </c>
      <c r="K37" s="37"/>
      <c r="L37" s="37"/>
      <c r="M37" s="37"/>
      <c r="N37" s="37"/>
      <c r="O37" s="37">
        <v>1</v>
      </c>
      <c r="P37" s="37"/>
      <c r="Q37" s="71">
        <f>VLOOKUP("SUCURSAL:",[35]Informe!$B$1:$D$276,3,FALSE)</f>
        <v>0</v>
      </c>
      <c r="R37" s="37"/>
      <c r="S37" s="40">
        <f>SUM(Table1[[#This Row],[ENE]:[DIC]])</f>
        <v>2</v>
      </c>
      <c r="U37" s="2" t="str">
        <f>SUBSTITUTE(SUBSTITUTE(Table1[[#This Row],[SUC]]," ",""),"Geant","G")</f>
        <v>DV07</v>
      </c>
      <c r="V37" s="2" t="str">
        <f t="shared" si="0"/>
        <v>=VLOOKUP("SUCURSAL:";'https://alutiposrl.sharepoint.com/sites/Creative/Documentos compartidos/Proyectos/DISCO/Disco 205-UY12/Información general/Planillas/[Disco 205-UY12 Planilla de registro de visita DV07.xlsx]Informe'!$B$1:$D$300;3;false)</v>
      </c>
    </row>
    <row r="38" spans="2:22" ht="15.75" customHeight="1" x14ac:dyDescent="0.25">
      <c r="B38" s="35" t="s">
        <v>124</v>
      </c>
      <c r="C38" s="57" t="s">
        <v>125</v>
      </c>
      <c r="D38" s="40" t="s">
        <v>126</v>
      </c>
      <c r="E38" s="37"/>
      <c r="F38" s="37"/>
      <c r="G38" s="37"/>
      <c r="H38" s="37"/>
      <c r="I38" s="37"/>
      <c r="J38" s="37">
        <v>1</v>
      </c>
      <c r="K38" s="37"/>
      <c r="L38" s="37"/>
      <c r="M38" s="37"/>
      <c r="N38" s="37"/>
      <c r="O38" s="37"/>
      <c r="P38" s="37">
        <v>1</v>
      </c>
      <c r="Q38" s="71">
        <f>VLOOKUP("SUCURSAL:",[36]Informe!$B$1:$D$253,3,FALSE)</f>
        <v>0</v>
      </c>
      <c r="R38" s="37"/>
      <c r="S38" s="40">
        <f>SUM(Table1[[#This Row],[ENE]:[DIC]])</f>
        <v>2</v>
      </c>
      <c r="U38" s="2" t="str">
        <f>SUBSTITUTE(SUBSTITUTE(Table1[[#This Row],[SUC]]," ",""),"Geant","G")</f>
        <v>DV08</v>
      </c>
      <c r="V38" s="2" t="str">
        <f t="shared" si="0"/>
        <v>=VLOOKUP("SUCURSAL:";'https://alutiposrl.sharepoint.com/sites/Creative/Documentos compartidos/Proyectos/DISCO/Disco 205-UY12/Información general/Planillas/[Disco 205-UY12 Planilla de registro de visita DV08.xlsx]Informe'!$B$1:$D$300;3;false)</v>
      </c>
    </row>
    <row r="39" spans="2:22" ht="15.75" customHeight="1" x14ac:dyDescent="0.25">
      <c r="B39" s="36" t="s">
        <v>127</v>
      </c>
      <c r="C39" s="58" t="s">
        <v>128</v>
      </c>
      <c r="D39" s="40" t="s">
        <v>129</v>
      </c>
      <c r="E39" s="37"/>
      <c r="F39" s="37"/>
      <c r="G39" s="37"/>
      <c r="H39" s="37">
        <v>1</v>
      </c>
      <c r="I39" s="37"/>
      <c r="J39" s="37"/>
      <c r="K39" s="37"/>
      <c r="L39" s="37"/>
      <c r="M39" s="37"/>
      <c r="N39" s="37"/>
      <c r="O39" s="37">
        <v>1</v>
      </c>
      <c r="P39" s="37"/>
      <c r="Q39" s="71">
        <f>VLOOKUP("SUCURSAL:",[37]Informe!$B$1:$D$300,3,FALSE)</f>
        <v>0</v>
      </c>
      <c r="R39" s="37"/>
      <c r="S39" s="40">
        <f>SUM(Table1[[#This Row],[ENE]:[DIC]])</f>
        <v>2</v>
      </c>
      <c r="U39" s="2" t="str">
        <f>SUBSTITUTE(SUBSTITUTE(Table1[[#This Row],[SUC]]," ",""),"Geant","G")</f>
        <v>DV09</v>
      </c>
      <c r="V39" s="2" t="str">
        <f t="shared" si="0"/>
        <v>=VLOOKUP("SUCURSAL:";'https://alutiposrl.sharepoint.com/sites/Creative/Documentos compartidos/Proyectos/DISCO/Disco 205-UY12/Información general/Planillas/[Disco 205-UY12 Planilla de registro de visita DV09.xlsx]Informe'!$B$1:$D$300;3;false)</v>
      </c>
    </row>
    <row r="40" spans="2:22" ht="15.75" customHeight="1" x14ac:dyDescent="0.25">
      <c r="B40" s="36" t="s">
        <v>130</v>
      </c>
      <c r="C40" s="58" t="s">
        <v>131</v>
      </c>
      <c r="D40" s="40" t="s">
        <v>132</v>
      </c>
      <c r="E40" s="37">
        <v>1</v>
      </c>
      <c r="F40" s="37"/>
      <c r="G40" s="37"/>
      <c r="H40" s="37"/>
      <c r="I40" s="37"/>
      <c r="J40" s="37"/>
      <c r="K40" s="37">
        <v>1</v>
      </c>
      <c r="L40" s="37"/>
      <c r="M40" s="37"/>
      <c r="N40" s="37"/>
      <c r="O40" s="37"/>
      <c r="P40" s="37"/>
      <c r="Q40" s="71">
        <f>VLOOKUP("SUCURSAL:",[38]Informe!$B$1:$D$300,3,FALSE)</f>
        <v>0</v>
      </c>
      <c r="R40" s="37"/>
      <c r="S40" s="40">
        <f>SUM(Table1[[#This Row],[ENE]:[DIC]])</f>
        <v>2</v>
      </c>
      <c r="U40" s="2" t="str">
        <f>SUBSTITUTE(SUBSTITUTE(Table1[[#This Row],[SUC]]," ",""),"Geant","G")</f>
        <v>DV10</v>
      </c>
      <c r="V40" s="2" t="str">
        <f t="shared" si="0"/>
        <v>=VLOOKUP("SUCURSAL:";'https://alutiposrl.sharepoint.com/sites/Creative/Documentos compartidos/Proyectos/DISCO/Disco 205-UY12/Información general/Planillas/[Disco 205-UY12 Planilla de registro de visita DV10.xlsx]Informe'!$B$1:$D$300;3;false)</v>
      </c>
    </row>
    <row r="41" spans="2:22" ht="15.75" customHeight="1" x14ac:dyDescent="0.25">
      <c r="B41" s="35" t="s">
        <v>133</v>
      </c>
      <c r="C41" s="57" t="s">
        <v>134</v>
      </c>
      <c r="D41" s="40" t="s">
        <v>135</v>
      </c>
      <c r="E41" s="37"/>
      <c r="F41" s="37"/>
      <c r="G41" s="37">
        <v>1</v>
      </c>
      <c r="H41" s="37"/>
      <c r="I41" s="37"/>
      <c r="J41" s="37"/>
      <c r="K41" s="37"/>
      <c r="L41" s="37"/>
      <c r="M41" s="37"/>
      <c r="N41" s="37">
        <v>1</v>
      </c>
      <c r="O41" s="37"/>
      <c r="P41" s="37"/>
      <c r="Q41" s="71">
        <f>VLOOKUP("SUCURSAL:",[39]Informe!$B$1:$D$300,3,FALSE)</f>
        <v>0</v>
      </c>
      <c r="R41" s="37"/>
      <c r="S41" s="40">
        <f>SUM(Table1[[#This Row],[ENE]:[DIC]])</f>
        <v>2</v>
      </c>
      <c r="U41" s="2" t="str">
        <f>SUBSTITUTE(SUBSTITUTE(Table1[[#This Row],[SUC]]," ",""),"Geant","G")</f>
        <v>DV11</v>
      </c>
      <c r="V41" s="2" t="str">
        <f t="shared" si="0"/>
        <v>=VLOOKUP("SUCURSAL:";'https://alutiposrl.sharepoint.com/sites/Creative/Documentos compartidos/Proyectos/DISCO/Disco 205-UY12/Información general/Planillas/[Disco 205-UY12 Planilla de registro de visita DV11.xlsx]Informe'!$B$1:$D$300;3;false)</v>
      </c>
    </row>
    <row r="42" spans="2:22" ht="15.75" customHeight="1" x14ac:dyDescent="0.25">
      <c r="B42" s="35" t="s">
        <v>136</v>
      </c>
      <c r="C42" s="57" t="s">
        <v>137</v>
      </c>
      <c r="D42" s="40" t="s">
        <v>138</v>
      </c>
      <c r="E42" s="37"/>
      <c r="F42" s="37"/>
      <c r="G42" s="37"/>
      <c r="H42" s="37">
        <v>1</v>
      </c>
      <c r="I42" s="37"/>
      <c r="J42" s="37"/>
      <c r="K42" s="37"/>
      <c r="L42" s="37"/>
      <c r="M42" s="37"/>
      <c r="N42" s="37">
        <v>1</v>
      </c>
      <c r="O42" s="37"/>
      <c r="P42" s="37"/>
      <c r="Q42" s="71">
        <f>VLOOKUP("SUCURSAL:",[40]Informe!$B$1:$D$300,3,FALSE)</f>
        <v>0</v>
      </c>
      <c r="R42" s="37"/>
      <c r="S42" s="40">
        <f>SUM(Table1[[#This Row],[ENE]:[DIC]])</f>
        <v>2</v>
      </c>
      <c r="U42" s="2" t="str">
        <f>SUBSTITUTE(SUBSTITUTE(Table1[[#This Row],[SUC]]," ",""),"Geant","G")</f>
        <v>DV12</v>
      </c>
      <c r="V42" s="2" t="str">
        <f t="shared" si="0"/>
        <v>=VLOOKUP("SUCURSAL:";'https://alutiposrl.sharepoint.com/sites/Creative/Documentos compartidos/Proyectos/DISCO/Disco 205-UY12/Información general/Planillas/[Disco 205-UY12 Planilla de registro de visita DV12.xlsx]Informe'!$B$1:$D$300;3;false)</v>
      </c>
    </row>
    <row r="43" spans="2:22" ht="15.75" customHeight="1" x14ac:dyDescent="0.25">
      <c r="B43" s="35" t="s">
        <v>139</v>
      </c>
      <c r="C43" s="57" t="s">
        <v>140</v>
      </c>
      <c r="D43" s="40" t="s">
        <v>141</v>
      </c>
      <c r="E43" s="37">
        <v>1</v>
      </c>
      <c r="F43" s="37"/>
      <c r="G43" s="37"/>
      <c r="H43" s="37"/>
      <c r="I43" s="37"/>
      <c r="J43" s="37"/>
      <c r="K43" s="37"/>
      <c r="L43" s="37"/>
      <c r="M43" s="37"/>
      <c r="N43" s="37"/>
      <c r="O43" s="37"/>
      <c r="P43" s="37">
        <v>1</v>
      </c>
      <c r="Q43" s="71">
        <f>VLOOKUP("SUCURSAL:",[41]Informe!$B$1:$D$300,3,FALSE)</f>
        <v>0</v>
      </c>
      <c r="R43" s="37"/>
      <c r="S43" s="40">
        <f>SUM(Table1[[#This Row],[ENE]:[DIC]])</f>
        <v>2</v>
      </c>
      <c r="U43" s="2" t="str">
        <f>SUBSTITUTE(SUBSTITUTE(Table1[[#This Row],[SUC]]," ",""),"Geant","G")</f>
        <v>DV13</v>
      </c>
      <c r="V43" s="2" t="str">
        <f t="shared" si="0"/>
        <v>=VLOOKUP("SUCURSAL:";'https://alutiposrl.sharepoint.com/sites/Creative/Documentos compartidos/Proyectos/DISCO/Disco 205-UY12/Información general/Planillas/[Disco 205-UY12 Planilla de registro de visita DV13.xlsx]Informe'!$B$1:$D$300;3;false)</v>
      </c>
    </row>
    <row r="44" spans="2:22" ht="15.75" customHeight="1" x14ac:dyDescent="0.25">
      <c r="B44" s="36" t="s">
        <v>142</v>
      </c>
      <c r="C44" s="58" t="s">
        <v>143</v>
      </c>
      <c r="D44" s="40" t="s">
        <v>144</v>
      </c>
      <c r="E44" s="37"/>
      <c r="F44" s="37"/>
      <c r="G44" s="37"/>
      <c r="H44" s="37">
        <v>1</v>
      </c>
      <c r="I44" s="37"/>
      <c r="J44" s="37"/>
      <c r="K44" s="37"/>
      <c r="L44" s="37"/>
      <c r="M44" s="37"/>
      <c r="N44" s="37"/>
      <c r="O44" s="37">
        <v>1</v>
      </c>
      <c r="P44" s="37"/>
      <c r="Q44" s="71">
        <f>VLOOKUP("SUCURSAL:",[42]Informe!$B$1:$D$300,3,FALSE)</f>
        <v>0</v>
      </c>
      <c r="R44" s="37"/>
      <c r="S44" s="40">
        <f>SUM(Table1[[#This Row],[ENE]:[DIC]])</f>
        <v>2</v>
      </c>
      <c r="U44" s="2" t="str">
        <f>SUBSTITUTE(SUBSTITUTE(Table1[[#This Row],[SUC]]," ",""),"Geant","G")</f>
        <v>DV14</v>
      </c>
      <c r="V44" s="2" t="str">
        <f t="shared" si="0"/>
        <v>=VLOOKUP("SUCURSAL:";'https://alutiposrl.sharepoint.com/sites/Creative/Documentos compartidos/Proyectos/DISCO/Disco 205-UY12/Información general/Planillas/[Disco 205-UY12 Planilla de registro de visita DV14.xlsx]Informe'!$B$1:$D$300;3;false)</v>
      </c>
    </row>
    <row r="45" spans="2:22" ht="15.75" customHeight="1" x14ac:dyDescent="0.25">
      <c r="B45" s="35" t="s">
        <v>145</v>
      </c>
      <c r="C45" s="57" t="s">
        <v>23</v>
      </c>
      <c r="D45" s="40" t="s">
        <v>146</v>
      </c>
      <c r="E45" s="37"/>
      <c r="F45" s="37">
        <v>1</v>
      </c>
      <c r="G45" s="37"/>
      <c r="H45" s="37"/>
      <c r="I45" s="37"/>
      <c r="J45" s="37"/>
      <c r="K45" s="37"/>
      <c r="L45" s="37">
        <v>1</v>
      </c>
      <c r="M45" s="37"/>
      <c r="N45" s="37"/>
      <c r="O45" s="37"/>
      <c r="P45" s="37"/>
      <c r="Q45" s="71">
        <f>VLOOKUP("SUCURSAL:",[43]Informe!$B$1:$D$300,3,FALSE)</f>
        <v>0</v>
      </c>
      <c r="R45" s="37"/>
      <c r="S45" s="40">
        <f>SUM(Table1[[#This Row],[ENE]:[DIC]])</f>
        <v>2</v>
      </c>
      <c r="U45" s="2" t="str">
        <f>SUBSTITUTE(SUBSTITUTE(Table1[[#This Row],[SUC]]," ",""),"Geant","G")</f>
        <v>DV15</v>
      </c>
      <c r="V45" s="2" t="str">
        <f t="shared" si="0"/>
        <v>=VLOOKUP("SUCURSAL:";'https://alutiposrl.sharepoint.com/sites/Creative/Documentos compartidos/Proyectos/DISCO/Disco 205-UY12/Información general/Planillas/[Disco 205-UY12 Planilla de registro de visita DV15.xlsx]Informe'!$B$1:$D$300;3;false)</v>
      </c>
    </row>
    <row r="46" spans="2:22" ht="15.75" customHeight="1" x14ac:dyDescent="0.25">
      <c r="B46" s="35" t="s">
        <v>147</v>
      </c>
      <c r="C46" s="57" t="s">
        <v>148</v>
      </c>
      <c r="D46" s="40" t="s">
        <v>149</v>
      </c>
      <c r="E46" s="37"/>
      <c r="F46" s="37"/>
      <c r="G46" s="37"/>
      <c r="H46" s="37"/>
      <c r="I46" s="37">
        <v>1</v>
      </c>
      <c r="J46" s="37"/>
      <c r="K46" s="37"/>
      <c r="L46" s="37"/>
      <c r="M46" s="37"/>
      <c r="N46" s="37">
        <v>1</v>
      </c>
      <c r="O46" s="37"/>
      <c r="P46" s="37"/>
      <c r="Q46" s="71">
        <f>VLOOKUP("SUCURSAL:",[44]Informe!$B$1:$D$300,3,FALSE)</f>
        <v>0</v>
      </c>
      <c r="R46" s="37"/>
      <c r="S46" s="40">
        <f>SUM(Table1[[#This Row],[ENE]:[DIC]])</f>
        <v>2</v>
      </c>
      <c r="U46" s="2" t="str">
        <f>SUBSTITUTE(SUBSTITUTE(Table1[[#This Row],[SUC]]," ",""),"Geant","G")</f>
        <v>DV16</v>
      </c>
      <c r="V46" s="2" t="str">
        <f t="shared" si="0"/>
        <v>=VLOOKUP("SUCURSAL:";'https://alutiposrl.sharepoint.com/sites/Creative/Documentos compartidos/Proyectos/DISCO/Disco 205-UY12/Información general/Planillas/[Disco 205-UY12 Planilla de registro de visita DV16.xlsx]Informe'!$B$1:$D$300;3;false)</v>
      </c>
    </row>
    <row r="47" spans="2:22" ht="15.75" customHeight="1" x14ac:dyDescent="0.25">
      <c r="B47" s="35" t="s">
        <v>150</v>
      </c>
      <c r="C47" s="57" t="s">
        <v>151</v>
      </c>
      <c r="D47" s="40" t="s">
        <v>152</v>
      </c>
      <c r="E47" s="37"/>
      <c r="F47" s="37">
        <v>1</v>
      </c>
      <c r="G47" s="37"/>
      <c r="H47" s="37"/>
      <c r="I47" s="37"/>
      <c r="J47" s="37"/>
      <c r="K47" s="37"/>
      <c r="L47" s="37">
        <v>1</v>
      </c>
      <c r="M47" s="37"/>
      <c r="N47" s="37"/>
      <c r="O47" s="37"/>
      <c r="P47" s="37"/>
      <c r="Q47" s="71">
        <f>VLOOKUP("SUCURSAL:",[45]Informe!$B$1:$D$275,3,FALSE)</f>
        <v>0</v>
      </c>
      <c r="R47" s="37"/>
      <c r="S47" s="40">
        <f>SUM(Table1[[#This Row],[ENE]:[DIC]])</f>
        <v>2</v>
      </c>
      <c r="U47" s="2" t="str">
        <f>SUBSTITUTE(SUBSTITUTE(Table1[[#This Row],[SUC]]," ",""),"Geant","G")</f>
        <v>DV18</v>
      </c>
      <c r="V47" s="2" t="str">
        <f t="shared" si="0"/>
        <v>=VLOOKUP("SUCURSAL:";'https://alutiposrl.sharepoint.com/sites/Creative/Documentos compartidos/Proyectos/DISCO/Disco 205-UY12/Información general/Planillas/[Disco 205-UY12 Planilla de registro de visita DV18.xlsx]Informe'!$B$1:$D$300;3;false)</v>
      </c>
    </row>
    <row r="48" spans="2:22" ht="15.75" customHeight="1" x14ac:dyDescent="0.25">
      <c r="B48" s="35" t="s">
        <v>153</v>
      </c>
      <c r="C48" s="57" t="s">
        <v>154</v>
      </c>
      <c r="D48" s="40" t="s">
        <v>155</v>
      </c>
      <c r="E48" s="37"/>
      <c r="F48" s="37"/>
      <c r="G48" s="37"/>
      <c r="H48" s="37"/>
      <c r="I48" s="37"/>
      <c r="J48" s="37"/>
      <c r="K48" s="37">
        <v>1</v>
      </c>
      <c r="L48" s="37"/>
      <c r="M48" s="37"/>
      <c r="N48" s="37">
        <v>1</v>
      </c>
      <c r="O48" s="37"/>
      <c r="P48" s="37"/>
      <c r="Q48" s="71">
        <f>VLOOKUP("SUCURSAL:",[46]Informe!$B$1:$D$300,3,FALSE)</f>
        <v>0</v>
      </c>
      <c r="R48" s="37"/>
      <c r="S48" s="40">
        <f>SUM(Table1[[#This Row],[ENE]:[DIC]])</f>
        <v>2</v>
      </c>
      <c r="U48" s="2" t="str">
        <f>SUBSTITUTE(SUBSTITUTE(Table1[[#This Row],[SUC]]," ",""),"Geant","G")</f>
        <v>DV19</v>
      </c>
      <c r="V48" s="2" t="str">
        <f t="shared" si="0"/>
        <v>=VLOOKUP("SUCURSAL:";'https://alutiposrl.sharepoint.com/sites/Creative/Documentos compartidos/Proyectos/DISCO/Disco 205-UY12/Información general/Planillas/[Disco 205-UY12 Planilla de registro de visita DV19.xlsx]Informe'!$B$1:$D$300;3;false)</v>
      </c>
    </row>
    <row r="49" spans="2:22" ht="15.75" customHeight="1" x14ac:dyDescent="0.25">
      <c r="B49" s="35" t="s">
        <v>156</v>
      </c>
      <c r="C49" s="57" t="s">
        <v>26</v>
      </c>
      <c r="D49" s="40" t="s">
        <v>157</v>
      </c>
      <c r="E49" s="37"/>
      <c r="F49" s="37"/>
      <c r="G49" s="37"/>
      <c r="H49" s="37"/>
      <c r="I49" s="37"/>
      <c r="J49" s="37">
        <v>1</v>
      </c>
      <c r="K49" s="37"/>
      <c r="L49" s="37"/>
      <c r="M49" s="37"/>
      <c r="N49" s="37"/>
      <c r="O49" s="37">
        <v>1</v>
      </c>
      <c r="P49" s="37"/>
      <c r="Q49" s="71">
        <f>VLOOKUP("SUCURSAL:",[47]Informe!$B$1:$D$318,3,FALSE)</f>
        <v>0</v>
      </c>
      <c r="R49" s="37"/>
      <c r="S49" s="40">
        <f>SUM(Table1[[#This Row],[ENE]:[DIC]])</f>
        <v>2</v>
      </c>
      <c r="U49" s="2" t="str">
        <f>SUBSTITUTE(SUBSTITUTE(Table1[[#This Row],[SUC]]," ",""),"Geant","G")</f>
        <v>DV20</v>
      </c>
      <c r="V49" s="2" t="str">
        <f t="shared" si="0"/>
        <v>=VLOOKUP("SUCURSAL:";'https://alutiposrl.sharepoint.com/sites/Creative/Documentos compartidos/Proyectos/DISCO/Disco 205-UY12/Información general/Planillas/[Disco 205-UY12 Planilla de registro de visita DV20.xlsx]Informe'!$B$1:$D$300;3;false)</v>
      </c>
    </row>
    <row r="50" spans="2:22" ht="15.75" customHeight="1" x14ac:dyDescent="0.25">
      <c r="B50" s="35" t="s">
        <v>158</v>
      </c>
      <c r="C50" s="57" t="s">
        <v>159</v>
      </c>
      <c r="D50" s="40" t="s">
        <v>160</v>
      </c>
      <c r="E50" s="37"/>
      <c r="F50" s="37"/>
      <c r="G50" s="37"/>
      <c r="H50" s="37"/>
      <c r="I50" s="37"/>
      <c r="J50" s="37">
        <v>1</v>
      </c>
      <c r="K50" s="37"/>
      <c r="L50" s="37"/>
      <c r="M50" s="37"/>
      <c r="N50" s="37"/>
      <c r="O50" s="37"/>
      <c r="P50" s="37">
        <v>1</v>
      </c>
      <c r="Q50" s="71">
        <f>VLOOKUP("SUCURSAL:",[48]Informe!$B$1:$D$311,3,FALSE)</f>
        <v>0</v>
      </c>
      <c r="R50" s="37"/>
      <c r="S50" s="40">
        <f>SUM(Table1[[#This Row],[ENE]:[DIC]])</f>
        <v>2</v>
      </c>
      <c r="U50" s="2" t="str">
        <f>SUBSTITUTE(SUBSTITUTE(Table1[[#This Row],[SUC]]," ",""),"Geant","G")</f>
        <v>DV21</v>
      </c>
      <c r="V50" s="2" t="str">
        <f t="shared" si="0"/>
        <v>=VLOOKUP("SUCURSAL:";'https://alutiposrl.sharepoint.com/sites/Creative/Documentos compartidos/Proyectos/DISCO/Disco 205-UY12/Información general/Planillas/[Disco 205-UY12 Planilla de registro de visita DV21.xlsx]Informe'!$B$1:$D$300;3;false)</v>
      </c>
    </row>
    <row r="51" spans="2:22" ht="15.75" customHeight="1" x14ac:dyDescent="0.25">
      <c r="B51" s="35" t="s">
        <v>161</v>
      </c>
      <c r="C51" s="57" t="s">
        <v>162</v>
      </c>
      <c r="D51" s="40" t="s">
        <v>163</v>
      </c>
      <c r="E51" s="37"/>
      <c r="F51" s="37">
        <v>1</v>
      </c>
      <c r="G51" s="37"/>
      <c r="H51" s="37"/>
      <c r="I51" s="37"/>
      <c r="J51" s="37"/>
      <c r="K51" s="37"/>
      <c r="L51" s="37">
        <v>1</v>
      </c>
      <c r="M51" s="37"/>
      <c r="N51" s="37"/>
      <c r="O51" s="37"/>
      <c r="P51" s="37"/>
      <c r="Q51" s="71">
        <f>VLOOKUP("SUCURSAL:",[49]Informe!$B$1:$D$300,3,FALSE)</f>
        <v>0</v>
      </c>
      <c r="R51" s="37"/>
      <c r="S51" s="40">
        <f>SUM(Table1[[#This Row],[ENE]:[DIC]])</f>
        <v>2</v>
      </c>
      <c r="U51" s="2" t="str">
        <f>SUBSTITUTE(SUBSTITUTE(Table1[[#This Row],[SUC]]," ",""),"Geant","G")</f>
        <v>DV22</v>
      </c>
      <c r="V51" s="2" t="str">
        <f t="shared" si="0"/>
        <v>=VLOOKUP("SUCURSAL:";'https://alutiposrl.sharepoint.com/sites/Creative/Documentos compartidos/Proyectos/DISCO/Disco 205-UY12/Información general/Planillas/[Disco 205-UY12 Planilla de registro de visita DV22.xlsx]Informe'!$B$1:$D$300;3;false)</v>
      </c>
    </row>
    <row r="52" spans="2:22" ht="15.75" customHeight="1" x14ac:dyDescent="0.25">
      <c r="B52" s="35" t="s">
        <v>164</v>
      </c>
      <c r="C52" s="57" t="s">
        <v>165</v>
      </c>
      <c r="D52" s="40" t="s">
        <v>166</v>
      </c>
      <c r="E52" s="37"/>
      <c r="F52" s="37"/>
      <c r="G52" s="37">
        <v>1</v>
      </c>
      <c r="H52" s="37"/>
      <c r="I52" s="37"/>
      <c r="J52" s="37"/>
      <c r="K52" s="37"/>
      <c r="L52" s="37"/>
      <c r="M52" s="37">
        <v>1</v>
      </c>
      <c r="N52" s="37"/>
      <c r="O52" s="37"/>
      <c r="P52" s="37"/>
      <c r="Q52" s="71">
        <f>VLOOKUP("SUCURSAL:",[50]Informe!$B$1:$D$300,3,FALSE)</f>
        <v>0</v>
      </c>
      <c r="R52" s="37"/>
      <c r="S52" s="40">
        <f>SUM(Table1[[#This Row],[ENE]:[DIC]])</f>
        <v>2</v>
      </c>
      <c r="U52" s="2" t="str">
        <f>SUBSTITUTE(SUBSTITUTE(Table1[[#This Row],[SUC]]," ",""),"Geant","G")</f>
        <v>DV23</v>
      </c>
      <c r="V52" s="2" t="str">
        <f t="shared" si="0"/>
        <v>=VLOOKUP("SUCURSAL:";'https://alutiposrl.sharepoint.com/sites/Creative/Documentos compartidos/Proyectos/DISCO/Disco 205-UY12/Información general/Planillas/[Disco 205-UY12 Planilla de registro de visita DV23.xlsx]Informe'!$B$1:$D$300;3;false)</v>
      </c>
    </row>
    <row r="53" spans="2:22" ht="15.75" customHeight="1" x14ac:dyDescent="0.25">
      <c r="B53" s="35" t="s">
        <v>167</v>
      </c>
      <c r="C53" s="57" t="s">
        <v>168</v>
      </c>
      <c r="D53" s="40" t="s">
        <v>169</v>
      </c>
      <c r="E53" s="37">
        <v>1</v>
      </c>
      <c r="F53" s="37"/>
      <c r="G53" s="37"/>
      <c r="H53" s="37"/>
      <c r="I53" s="37"/>
      <c r="J53" s="37"/>
      <c r="K53" s="37">
        <v>1</v>
      </c>
      <c r="L53" s="37"/>
      <c r="M53" s="37"/>
      <c r="N53" s="37"/>
      <c r="O53" s="37"/>
      <c r="P53" s="37"/>
      <c r="Q53" s="71">
        <f>VLOOKUP("SUCURSAL:",[51]Informe!$B$1:$D$300,3,FALSE)</f>
        <v>0</v>
      </c>
      <c r="R53" s="37"/>
      <c r="S53" s="40">
        <f>SUM(Table1[[#This Row],[ENE]:[DIC]])</f>
        <v>2</v>
      </c>
      <c r="U53" s="2" t="str">
        <f>SUBSTITUTE(SUBSTITUTE(Table1[[#This Row],[SUC]]," ",""),"Geant","G")</f>
        <v>DV24</v>
      </c>
      <c r="V53" s="2" t="str">
        <f t="shared" si="0"/>
        <v>=VLOOKUP("SUCURSAL:";'https://alutiposrl.sharepoint.com/sites/Creative/Documentos compartidos/Proyectos/DISCO/Disco 205-UY12/Información general/Planillas/[Disco 205-UY12 Planilla de registro de visita DV24.xlsx]Informe'!$B$1:$D$300;3;false)</v>
      </c>
    </row>
    <row r="54" spans="2:22" ht="15.75" customHeight="1" x14ac:dyDescent="0.25">
      <c r="B54" s="35" t="s">
        <v>170</v>
      </c>
      <c r="C54" s="57" t="s">
        <v>171</v>
      </c>
      <c r="D54" s="40" t="s">
        <v>172</v>
      </c>
      <c r="E54" s="37"/>
      <c r="F54" s="37">
        <v>1</v>
      </c>
      <c r="G54" s="37"/>
      <c r="H54" s="37"/>
      <c r="I54" s="37"/>
      <c r="J54" s="37"/>
      <c r="K54" s="37"/>
      <c r="L54" s="37">
        <v>1</v>
      </c>
      <c r="M54" s="37"/>
      <c r="N54" s="37"/>
      <c r="O54" s="37"/>
      <c r="P54" s="37"/>
      <c r="Q54" s="71">
        <f>VLOOKUP("SUCURSAL:",[52]Informe!$B$1:$D$300,3,FALSE)</f>
        <v>0</v>
      </c>
      <c r="R54" s="37"/>
      <c r="S54" s="40">
        <f>SUM(Table1[[#This Row],[ENE]:[DIC]])</f>
        <v>2</v>
      </c>
      <c r="U54" s="2" t="str">
        <f>SUBSTITUTE(SUBSTITUTE(Table1[[#This Row],[SUC]]," ",""),"Geant","G")</f>
        <v>DV25</v>
      </c>
      <c r="V54" s="2" t="str">
        <f t="shared" si="0"/>
        <v>=VLOOKUP("SUCURSAL:";'https://alutiposrl.sharepoint.com/sites/Creative/Documentos compartidos/Proyectos/DISCO/Disco 205-UY12/Información general/Planillas/[Disco 205-UY12 Planilla de registro de visita DV25.xlsx]Informe'!$B$1:$D$300;3;false)</v>
      </c>
    </row>
    <row r="55" spans="2:22" ht="15.75" customHeight="1" x14ac:dyDescent="0.25">
      <c r="Q55" s="1"/>
      <c r="R55" s="1"/>
    </row>
    <row r="56" spans="2:22" ht="15.75" customHeight="1" x14ac:dyDescent="0.25">
      <c r="D56" s="63" t="s">
        <v>173</v>
      </c>
      <c r="E56" s="64">
        <f>SUM(Table1[ENE])</f>
        <v>9</v>
      </c>
      <c r="F56" s="64">
        <f>SUM(Table1[FEB])</f>
        <v>9</v>
      </c>
      <c r="G56" s="64">
        <f>SUM(Table1[MAR])</f>
        <v>9</v>
      </c>
      <c r="H56" s="64">
        <f>SUM(Table1[ABR])</f>
        <v>8</v>
      </c>
      <c r="I56" s="64">
        <f>SUM(Table1[MAY])</f>
        <v>8</v>
      </c>
      <c r="J56" s="64">
        <f>SUM(Table1[JUN])</f>
        <v>8</v>
      </c>
      <c r="K56" s="64">
        <f>SUM(Table1[JUL])</f>
        <v>8</v>
      </c>
      <c r="L56" s="64">
        <f>SUM(Table1[AGO])</f>
        <v>9</v>
      </c>
      <c r="M56" s="64">
        <f>SUM(Table1[SET])</f>
        <v>9</v>
      </c>
      <c r="N56" s="64">
        <f>SUM(Table1[OCT])</f>
        <v>9</v>
      </c>
      <c r="O56" s="64">
        <f>SUM(Table1[NOV])</f>
        <v>9</v>
      </c>
      <c r="P56" s="64">
        <f>SUM(Table1[DIC])</f>
        <v>9</v>
      </c>
      <c r="Q56" s="1"/>
      <c r="R56" s="1"/>
      <c r="S56" s="65">
        <f>SUM(E56:P56)</f>
        <v>104</v>
      </c>
    </row>
    <row r="57" spans="2:22" ht="15.75" customHeight="1" x14ac:dyDescent="0.25">
      <c r="Q57" s="1"/>
      <c r="R57" s="1"/>
    </row>
    <row r="58" spans="2:22" ht="15.75" customHeight="1" x14ac:dyDescent="0.25">
      <c r="Q58" s="1"/>
      <c r="R58" s="1"/>
    </row>
    <row r="59" spans="2:22" ht="15.75" customHeight="1" x14ac:dyDescent="0.25">
      <c r="Q59" s="1"/>
      <c r="R59" s="1"/>
    </row>
    <row r="60" spans="2:22" ht="15.75" customHeight="1" x14ac:dyDescent="0.25">
      <c r="Q60" s="1"/>
      <c r="R60" s="1"/>
    </row>
  </sheetData>
  <phoneticPr fontId="9" type="noConversion"/>
  <conditionalFormatting sqref="E3:E54">
    <cfRule type="expression" dxfId="12" priority="3">
      <formula>AND(E3=1,E3=P3)</formula>
    </cfRule>
  </conditionalFormatting>
  <conditionalFormatting sqref="E3:P54">
    <cfRule type="expression" dxfId="11" priority="4">
      <formula>AND(E3=1, OR(E3=D3,E3=F3))</formula>
    </cfRule>
    <cfRule type="expression" dxfId="10" priority="10">
      <formula>AND( E$56&lt;18, E$56&gt;=16)</formula>
    </cfRule>
    <cfRule type="expression" dxfId="9" priority="11">
      <formula>AND( E$56&lt;20, E$56&gt;=18)</formula>
    </cfRule>
    <cfRule type="expression" dxfId="8" priority="12">
      <formula>AND( E$56&lt;22, E$56&gt;=20)</formula>
    </cfRule>
    <cfRule type="expression" dxfId="7" priority="13">
      <formula>AND( E$56&lt;100, E$56&gt;=22)</formula>
    </cfRule>
  </conditionalFormatting>
  <conditionalFormatting sqref="P3:P54">
    <cfRule type="expression" dxfId="6" priority="1">
      <formula>AND(P3=1,P3=E3)</formula>
    </cfRule>
  </conditionalFormatting>
  <pageMargins left="0.24" right="0.3" top="0.17" bottom="0.18" header="0.17" footer="0.3"/>
  <pageSetup paperSize="9" scale="34"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E330F-CF95-49F1-AF4F-8706E1165340}">
  <sheetPr>
    <pageSetUpPr fitToPage="1"/>
  </sheetPr>
  <dimension ref="A3:T135"/>
  <sheetViews>
    <sheetView view="pageBreakPreview" zoomScale="90" zoomScaleNormal="100" zoomScaleSheetLayoutView="90" workbookViewId="0">
      <selection activeCell="G31" sqref="G31"/>
    </sheetView>
  </sheetViews>
  <sheetFormatPr baseColWidth="10" defaultColWidth="8.85546875" defaultRowHeight="15" x14ac:dyDescent="0.25"/>
  <cols>
    <col min="1" max="2" width="3.7109375" customWidth="1"/>
    <col min="3" max="3" width="8.28515625" bestFit="1" customWidth="1"/>
    <col min="4" max="4" width="20.7109375" bestFit="1" customWidth="1"/>
    <col min="5" max="5" width="17" customWidth="1"/>
    <col min="6" max="6" width="16.140625" customWidth="1"/>
    <col min="7" max="7" width="38.140625" customWidth="1"/>
    <col min="8" max="8" width="3.28515625" customWidth="1"/>
    <col min="10" max="10" width="12.5703125" bestFit="1" customWidth="1"/>
    <col min="11" max="11" width="10.7109375" bestFit="1" customWidth="1"/>
    <col min="13" max="13" width="20.7109375" bestFit="1" customWidth="1"/>
    <col min="14" max="14" width="43.28515625" bestFit="1" customWidth="1"/>
    <col min="15" max="15" width="5.7109375" customWidth="1"/>
    <col min="16" max="16" width="14.7109375" customWidth="1"/>
    <col min="20" max="20" width="22.140625" customWidth="1"/>
  </cols>
  <sheetData>
    <row r="3" spans="1:20" ht="15.75" thickBot="1" x14ac:dyDescent="0.3">
      <c r="G3" s="60" t="str">
        <f>COUNTIF(C6:C51,"D *")&amp;" Disco, "&amp;COUNTIF(C6:C51,"DV *")&amp;" Devoto"</f>
        <v>4 Disco, 4 Devoto</v>
      </c>
    </row>
    <row r="4" spans="1:20" ht="16.5" thickBot="1" x14ac:dyDescent="0.3">
      <c r="C4" s="93" t="s">
        <v>282</v>
      </c>
      <c r="D4" s="94"/>
      <c r="E4" s="59"/>
      <c r="G4" s="43" t="str">
        <f>COUNTIF(G6:G51, "&lt;&gt;")&amp;" locales."</f>
        <v>8 locales.</v>
      </c>
      <c r="L4" t="s">
        <v>175</v>
      </c>
      <c r="P4">
        <v>12345</v>
      </c>
    </row>
    <row r="5" spans="1:20" ht="15.75" thickBot="1" x14ac:dyDescent="0.3">
      <c r="C5" s="95" t="s">
        <v>176</v>
      </c>
      <c r="D5" s="96"/>
      <c r="E5" s="55" t="s">
        <v>177</v>
      </c>
      <c r="F5" s="55"/>
      <c r="G5" s="56" t="s">
        <v>178</v>
      </c>
      <c r="L5" s="68" t="s">
        <v>0</v>
      </c>
      <c r="M5" s="68" t="s">
        <v>1</v>
      </c>
      <c r="N5" s="68" t="s">
        <v>2</v>
      </c>
      <c r="O5" s="69" t="s">
        <v>179</v>
      </c>
      <c r="P5" s="69" t="s">
        <v>180</v>
      </c>
    </row>
    <row r="6" spans="1:20" x14ac:dyDescent="0.25">
      <c r="C6" s="83" t="str" cm="1">
        <f t="array" ref="C6:C13">INDEX(_xlfn._xlws.FILTER(L6:O57,_xlfn.ANCHORARRAY(O6)=1), ,1)</f>
        <v>D 03</v>
      </c>
      <c r="D6" s="84" t="str" cm="1">
        <f t="array" ref="D6:D13">INDEX(_xlfn._xlws.FILTER(L6:O57,_xlfn.ANCHORARRAY(O6)=1), ,2)</f>
        <v>Arenal Grande</v>
      </c>
      <c r="E6" s="84" t="str" cm="1">
        <f t="array" ref="E6:E13">IF(INDEX(_xlfn._xlws.FILTER(L6:P57,_xlfn.ANCHORARRAY(O6)=1), ,5)=0, "", INDEX(_xlfn._xlws.FILTER(L6:P57,_xlfn.ANCHORARRAY(O6)=1), ,5))</f>
        <v/>
      </c>
      <c r="F6" s="85"/>
      <c r="G6" s="86" t="str" cm="1">
        <f t="array" ref="G6:G13">INDEX(_xlfn._xlws.FILTER(L6:O57,_xlfn.ANCHORARRAY(O6)=1), ,3)</f>
        <v>Arenal Grande 1376</v>
      </c>
      <c r="I6" s="67"/>
      <c r="L6" s="42" t="str" cm="1">
        <f t="array" ref="L6:L57">Table1[SUC]</f>
        <v>D 01</v>
      </c>
      <c r="M6" s="42" t="str" cm="1">
        <f t="array" ref="M6:M57">Table1[NOMBRE]</f>
        <v>Scoseria</v>
      </c>
      <c r="N6" t="str" cm="1">
        <f t="array" ref="N6:N57">Table1[DIRECCION]</f>
        <v>Scosería 2628</v>
      </c>
      <c r="O6" cm="1">
        <f t="array" ref="O6:O57">_xlfn._xlws.FILTER(Table1[],Table1[#Headers]=LEFT(C4,3),"NOPE")</f>
        <v>0</v>
      </c>
      <c r="P6" cm="1">
        <f t="array" ref="P6:P57">Table1[Recordatorio]</f>
        <v>0</v>
      </c>
    </row>
    <row r="7" spans="1:20" x14ac:dyDescent="0.25">
      <c r="C7" s="87" t="str">
        <v>D 12</v>
      </c>
      <c r="D7" t="str">
        <v>Curva De Maroñas</v>
      </c>
      <c r="E7" t="str">
        <v/>
      </c>
      <c r="F7" s="70"/>
      <c r="G7" s="88" t="str">
        <v>8 de Octubre 4786</v>
      </c>
      <c r="L7" t="str">
        <v>D 02</v>
      </c>
      <c r="M7" t="str">
        <v>Agraciada</v>
      </c>
      <c r="N7" t="str">
        <v>Av. Agraciada 2986</v>
      </c>
      <c r="O7">
        <v>0</v>
      </c>
      <c r="P7">
        <v>0</v>
      </c>
      <c r="T7" s="44"/>
    </row>
    <row r="8" spans="1:20" x14ac:dyDescent="0.25">
      <c r="C8" s="87" t="str">
        <v>D 21</v>
      </c>
      <c r="D8" t="str">
        <v>Ejido</v>
      </c>
      <c r="E8" t="str">
        <v/>
      </c>
      <c r="F8" s="70"/>
      <c r="G8" s="88" t="str">
        <v>Ejido 1530</v>
      </c>
      <c r="L8" t="str">
        <v>D 03</v>
      </c>
      <c r="M8" t="str">
        <v>Arenal Grande</v>
      </c>
      <c r="N8" t="str">
        <v>Arenal Grande 1376</v>
      </c>
      <c r="O8">
        <v>1</v>
      </c>
      <c r="P8">
        <v>0</v>
      </c>
    </row>
    <row r="9" spans="1:20" x14ac:dyDescent="0.25">
      <c r="C9" s="87" t="str">
        <v>D 22</v>
      </c>
      <c r="D9" t="str">
        <v>Barrios Amorin</v>
      </c>
      <c r="E9" t="str">
        <v/>
      </c>
      <c r="F9" s="70"/>
      <c r="G9" s="88" t="str">
        <v>Barrios Amorín 859</v>
      </c>
      <c r="L9" t="str">
        <v>D 04</v>
      </c>
      <c r="M9" t="str">
        <v>Legrand</v>
      </c>
      <c r="N9" t="str">
        <v>Av. Legrand 5085</v>
      </c>
      <c r="O9">
        <v>0</v>
      </c>
      <c r="P9">
        <v>0</v>
      </c>
    </row>
    <row r="10" spans="1:20" x14ac:dyDescent="0.25">
      <c r="C10" s="87" t="str">
        <v>DV 03</v>
      </c>
      <c r="D10" t="str">
        <v>Brisas</v>
      </c>
      <c r="E10" t="str">
        <v/>
      </c>
      <c r="F10" s="70"/>
      <c r="G10" s="88" t="str">
        <v>Rivera 4502</v>
      </c>
      <c r="L10" t="str">
        <v>D 05</v>
      </c>
      <c r="M10" t="str">
        <v>Parada 5</v>
      </c>
      <c r="N10" t="str">
        <v>Pedragosa Sierra y Av. Italia, Punta del Este</v>
      </c>
      <c r="O10">
        <v>0</v>
      </c>
      <c r="P10">
        <v>0</v>
      </c>
    </row>
    <row r="11" spans="1:20" x14ac:dyDescent="0.25">
      <c r="C11" s="87" t="str">
        <v>DV 10</v>
      </c>
      <c r="D11" t="str">
        <v>Portones</v>
      </c>
      <c r="E11" t="str">
        <v/>
      </c>
      <c r="F11" s="70"/>
      <c r="G11" s="88" t="str">
        <v>Av. Italia 5779</v>
      </c>
      <c r="L11" t="str">
        <v>D 06</v>
      </c>
      <c r="M11" t="str">
        <v>Fernandez Crespo</v>
      </c>
      <c r="N11" t="str">
        <v>Av. Daniel Fernandez Crespo 1727</v>
      </c>
      <c r="O11">
        <v>0</v>
      </c>
      <c r="P11">
        <v>0</v>
      </c>
    </row>
    <row r="12" spans="1:20" x14ac:dyDescent="0.25">
      <c r="C12" s="87" t="str">
        <v>DV 19</v>
      </c>
      <c r="D12" t="str">
        <v>Prado - Suárez</v>
      </c>
      <c r="E12" t="str">
        <v/>
      </c>
      <c r="F12" s="70"/>
      <c r="G12" s="88" t="str">
        <v>Joaquín Suarez 3458</v>
      </c>
      <c r="L12" t="str">
        <v>D 07</v>
      </c>
      <c r="M12" t="str">
        <v>Soca</v>
      </c>
      <c r="N12" t="str">
        <v>Av. Dr. Francisco Soca 1318</v>
      </c>
      <c r="O12">
        <v>0</v>
      </c>
      <c r="P12">
        <v>0</v>
      </c>
    </row>
    <row r="13" spans="1:20" x14ac:dyDescent="0.25">
      <c r="A13" t="s">
        <v>219</v>
      </c>
      <c r="C13" s="87" t="str">
        <v>DV 24</v>
      </c>
      <c r="D13" t="str">
        <v>San Quintín</v>
      </c>
      <c r="E13" t="str">
        <v/>
      </c>
      <c r="F13" s="70"/>
      <c r="G13" s="88" t="str">
        <v>Av. San Quintín 4376</v>
      </c>
      <c r="L13" t="str">
        <v>D 08</v>
      </c>
      <c r="M13" t="str">
        <v>Roosevelt</v>
      </c>
      <c r="N13" t="str">
        <v>Av. Roosevelt y Zelmar Michellini s/n, Maldonado</v>
      </c>
      <c r="O13">
        <v>0</v>
      </c>
      <c r="P13">
        <v>0</v>
      </c>
    </row>
    <row r="14" spans="1:20" ht="15.75" thickBot="1" x14ac:dyDescent="0.3">
      <c r="C14" s="89"/>
      <c r="D14" s="90"/>
      <c r="E14" s="90"/>
      <c r="F14" s="91"/>
      <c r="G14" s="92"/>
      <c r="L14" t="str">
        <v>D 09</v>
      </c>
      <c r="M14" t="str">
        <v>Pta Carretas</v>
      </c>
      <c r="N14" t="str">
        <v>Ellauri 350, local 002. Shopping Punta Carretas</v>
      </c>
      <c r="O14">
        <v>0</v>
      </c>
      <c r="P14">
        <v>0</v>
      </c>
    </row>
    <row r="15" spans="1:20" x14ac:dyDescent="0.25">
      <c r="F15" s="70"/>
      <c r="L15" t="str">
        <v>D 10</v>
      </c>
      <c r="M15" t="str">
        <v>Camino Maldonado</v>
      </c>
      <c r="N15" t="str">
        <v>Brig. Gral. Lavalleja 7722, Maldonado</v>
      </c>
      <c r="O15">
        <v>0</v>
      </c>
      <c r="P15">
        <v>0</v>
      </c>
    </row>
    <row r="16" spans="1:20" x14ac:dyDescent="0.25">
      <c r="F16" s="70"/>
      <c r="L16" t="str">
        <v>D 11</v>
      </c>
      <c r="M16" t="str">
        <v>8 de Octubre y Garibaldi</v>
      </c>
      <c r="N16" t="str">
        <v>8 de Octubre 2681</v>
      </c>
      <c r="O16">
        <v>0</v>
      </c>
      <c r="P16">
        <v>0</v>
      </c>
    </row>
    <row r="17" spans="6:16" x14ac:dyDescent="0.25">
      <c r="F17" s="70"/>
      <c r="L17" t="str">
        <v>D 12</v>
      </c>
      <c r="M17" t="str">
        <v>Curva De Maroñas</v>
      </c>
      <c r="N17" t="str">
        <v>8 de Octubre 4786</v>
      </c>
      <c r="O17">
        <v>1</v>
      </c>
      <c r="P17">
        <v>0</v>
      </c>
    </row>
    <row r="18" spans="6:16" x14ac:dyDescent="0.25">
      <c r="F18" s="70"/>
      <c r="L18" t="str">
        <v>D 13</v>
      </c>
      <c r="M18" t="str">
        <v>Chucarro</v>
      </c>
      <c r="N18" t="str">
        <v>Chucarro 1320</v>
      </c>
      <c r="O18">
        <v>0</v>
      </c>
      <c r="P18">
        <v>0</v>
      </c>
    </row>
    <row r="19" spans="6:16" x14ac:dyDescent="0.25">
      <c r="L19" t="str">
        <v>D 14</v>
      </c>
      <c r="M19" t="str">
        <v>De La Punta</v>
      </c>
      <c r="N19" t="str">
        <v>Calle 17, entre Gorlero y 24, Punta del Este</v>
      </c>
      <c r="O19">
        <v>0</v>
      </c>
      <c r="P19">
        <v>0</v>
      </c>
    </row>
    <row r="20" spans="6:16" x14ac:dyDescent="0.25">
      <c r="L20" t="str">
        <v>D 15</v>
      </c>
      <c r="M20" t="str">
        <v>Marcelino Sosa</v>
      </c>
      <c r="N20" t="str">
        <v>Marcelino Sosa 2706</v>
      </c>
      <c r="O20">
        <v>0</v>
      </c>
      <c r="P20">
        <v>0</v>
      </c>
    </row>
    <row r="21" spans="6:16" x14ac:dyDescent="0.25">
      <c r="L21" t="str">
        <v>D 16</v>
      </c>
      <c r="M21" t="str">
        <v>Ayacucho</v>
      </c>
      <c r="N21" t="str">
        <v>Ayacucho 3370</v>
      </c>
      <c r="O21">
        <v>0</v>
      </c>
      <c r="P21">
        <v>0</v>
      </c>
    </row>
    <row r="22" spans="6:16" x14ac:dyDescent="0.25">
      <c r="L22" t="str">
        <v>D 17</v>
      </c>
      <c r="M22" t="str">
        <v>Calle Maldonado</v>
      </c>
      <c r="N22" t="str">
        <v>Maldonado 1024</v>
      </c>
      <c r="O22">
        <v>0</v>
      </c>
      <c r="P22">
        <v>0</v>
      </c>
    </row>
    <row r="23" spans="6:16" x14ac:dyDescent="0.25">
      <c r="L23" t="str">
        <v>D 18</v>
      </c>
      <c r="M23" t="str">
        <v>Solymar</v>
      </c>
      <c r="N23" t="str">
        <v>Av. Giannattasio Km. 23.500, Solymar</v>
      </c>
      <c r="O23">
        <v>0</v>
      </c>
      <c r="P23">
        <v>0</v>
      </c>
    </row>
    <row r="24" spans="6:16" x14ac:dyDescent="0.25">
      <c r="L24" t="str">
        <v>D 19</v>
      </c>
      <c r="M24" t="str">
        <v>Atlantida</v>
      </c>
      <c r="N24" t="str">
        <v>Calle Gral. Artigas s/n, entre 22 y 24, Atlántida</v>
      </c>
      <c r="O24">
        <v>0</v>
      </c>
      <c r="P24">
        <v>0</v>
      </c>
    </row>
    <row r="25" spans="6:16" x14ac:dyDescent="0.25">
      <c r="L25" t="str">
        <v>D 20</v>
      </c>
      <c r="M25" t="str">
        <v>20 De Setiembre</v>
      </c>
      <c r="N25" t="str">
        <v>20 de setiembre 1521</v>
      </c>
      <c r="O25">
        <v>0</v>
      </c>
      <c r="P25">
        <v>0</v>
      </c>
    </row>
    <row r="26" spans="6:16" x14ac:dyDescent="0.25">
      <c r="L26" t="str">
        <v>D 21</v>
      </c>
      <c r="M26" t="str">
        <v>Ejido</v>
      </c>
      <c r="N26" t="str">
        <v>Ejido 1530</v>
      </c>
      <c r="O26">
        <v>1</v>
      </c>
      <c r="P26">
        <v>0</v>
      </c>
    </row>
    <row r="27" spans="6:16" x14ac:dyDescent="0.25">
      <c r="L27" t="str">
        <v>D 22</v>
      </c>
      <c r="M27" t="str">
        <v>Barrios Amorin</v>
      </c>
      <c r="N27" t="str">
        <v>Barrios Amorín 859</v>
      </c>
      <c r="O27">
        <v>1</v>
      </c>
      <c r="P27">
        <v>0</v>
      </c>
    </row>
    <row r="28" spans="6:16" x14ac:dyDescent="0.25">
      <c r="L28" t="str">
        <v>D 23</v>
      </c>
      <c r="M28" t="str">
        <v>Medanos</v>
      </c>
      <c r="N28" t="str">
        <v>Av. Giannattasio km 27.500 y Av. Central, Médanos</v>
      </c>
      <c r="O28">
        <v>0</v>
      </c>
      <c r="P28">
        <v>0</v>
      </c>
    </row>
    <row r="29" spans="6:16" x14ac:dyDescent="0.25">
      <c r="L29" t="str">
        <v>D 24</v>
      </c>
      <c r="M29" t="str">
        <v>Obligado</v>
      </c>
      <c r="N29" t="str">
        <v>Obligado 968</v>
      </c>
      <c r="O29">
        <v>0</v>
      </c>
      <c r="P29">
        <v>0</v>
      </c>
    </row>
    <row r="30" spans="6:16" x14ac:dyDescent="0.25">
      <c r="L30" t="str">
        <v>D 25</v>
      </c>
      <c r="M30" t="str">
        <v>Solano Lopez</v>
      </c>
      <c r="N30" t="str">
        <v>Francisco Solano López 1680</v>
      </c>
      <c r="O30">
        <v>0</v>
      </c>
      <c r="P30">
        <v>0</v>
      </c>
    </row>
    <row r="31" spans="6:16" x14ac:dyDescent="0.25">
      <c r="L31" t="str">
        <v>D 26</v>
      </c>
      <c r="M31" t="str">
        <v>Canelones</v>
      </c>
      <c r="N31" t="str">
        <v>Florencio Sanchez 729, Canelones</v>
      </c>
      <c r="O31">
        <v>0</v>
      </c>
      <c r="P31">
        <v>0</v>
      </c>
    </row>
    <row r="32" spans="6:16" x14ac:dyDescent="0.25">
      <c r="L32" t="str">
        <v>D 27</v>
      </c>
      <c r="M32" t="str">
        <v>Avda Italia</v>
      </c>
      <c r="N32" t="str">
        <v>Magariños Cervantes 2052</v>
      </c>
      <c r="O32">
        <v>0</v>
      </c>
      <c r="P32" t="e">
        <v>#N/A</v>
      </c>
    </row>
    <row r="33" spans="12:16" x14ac:dyDescent="0.25">
      <c r="L33" t="str">
        <v>D 28</v>
      </c>
      <c r="M33" t="str">
        <v>La Cabaña</v>
      </c>
      <c r="N33" t="str">
        <v>Naciones Unidas y Rambla, El Pinar</v>
      </c>
      <c r="O33">
        <v>0</v>
      </c>
      <c r="P33">
        <v>0</v>
      </c>
    </row>
    <row r="34" spans="12:16" x14ac:dyDescent="0.25">
      <c r="L34" t="str">
        <v>DV 01</v>
      </c>
      <c r="M34" t="str">
        <v>Malvin</v>
      </c>
      <c r="N34" t="str">
        <v>H. Irigoyen 1444</v>
      </c>
      <c r="O34">
        <v>0</v>
      </c>
      <c r="P34">
        <v>0</v>
      </c>
    </row>
    <row r="35" spans="12:16" x14ac:dyDescent="0.25">
      <c r="L35" t="str">
        <v>DV 02</v>
      </c>
      <c r="M35" t="str">
        <v>Punta Gorda</v>
      </c>
      <c r="N35" t="str">
        <v>Gral. Paz 1404</v>
      </c>
      <c r="O35">
        <v>0</v>
      </c>
      <c r="P35">
        <v>0</v>
      </c>
    </row>
    <row r="36" spans="12:16" x14ac:dyDescent="0.25">
      <c r="L36" t="str">
        <v>DV 03</v>
      </c>
      <c r="M36" t="str">
        <v>Brisas</v>
      </c>
      <c r="N36" t="str">
        <v>Rivera 4502</v>
      </c>
      <c r="O36">
        <v>1</v>
      </c>
      <c r="P36">
        <v>0</v>
      </c>
    </row>
    <row r="37" spans="12:16" x14ac:dyDescent="0.25">
      <c r="L37" t="str">
        <v>DV 04</v>
      </c>
      <c r="M37" t="str">
        <v>Carrasco</v>
      </c>
      <c r="N37" t="str">
        <v>Bolivia 1413</v>
      </c>
      <c r="O37">
        <v>0</v>
      </c>
      <c r="P37">
        <v>0</v>
      </c>
    </row>
    <row r="38" spans="12:16" x14ac:dyDescent="0.25">
      <c r="L38" t="str">
        <v>DV 05</v>
      </c>
      <c r="M38" t="str">
        <v>Shangrila</v>
      </c>
      <c r="N38" t="str">
        <v>Av. Calcagno s/n, Shangrilá</v>
      </c>
      <c r="O38">
        <v>0</v>
      </c>
      <c r="P38">
        <v>0</v>
      </c>
    </row>
    <row r="39" spans="12:16" x14ac:dyDescent="0.25">
      <c r="L39" t="str">
        <v>DV 06</v>
      </c>
      <c r="M39" t="str">
        <v>Santa Mónica</v>
      </c>
      <c r="N39" t="str">
        <v>Av. Italia 6958 esq. Sta. Mónica</v>
      </c>
      <c r="O39">
        <v>0</v>
      </c>
      <c r="P39">
        <v>0</v>
      </c>
    </row>
    <row r="40" spans="12:16" x14ac:dyDescent="0.25">
      <c r="L40" t="str">
        <v>DV 07</v>
      </c>
      <c r="M40" t="str">
        <v>Colón</v>
      </c>
      <c r="N40" t="str">
        <v>Av. Garzón 1945</v>
      </c>
      <c r="O40">
        <v>0</v>
      </c>
      <c r="P40">
        <v>0</v>
      </c>
    </row>
    <row r="41" spans="12:16" x14ac:dyDescent="0.25">
      <c r="L41" t="str">
        <v>DV 08</v>
      </c>
      <c r="M41" t="str">
        <v>San Martín I</v>
      </c>
      <c r="N41" t="str">
        <v>San Martín 3709</v>
      </c>
      <c r="O41">
        <v>0</v>
      </c>
      <c r="P41">
        <v>0</v>
      </c>
    </row>
    <row r="42" spans="12:16" x14ac:dyDescent="0.25">
      <c r="L42" t="str">
        <v>DV 09</v>
      </c>
      <c r="M42" t="str">
        <v>Punta del Este</v>
      </c>
      <c r="N42" t="str">
        <v>Av. Roosevelt y Parada 10, Punta del Este</v>
      </c>
      <c r="O42">
        <v>0</v>
      </c>
      <c r="P42">
        <v>0</v>
      </c>
    </row>
    <row r="43" spans="12:16" x14ac:dyDescent="0.25">
      <c r="L43" t="str">
        <v>DV 10</v>
      </c>
      <c r="M43" t="str">
        <v>Portones</v>
      </c>
      <c r="N43" t="str">
        <v>Av. Italia 5779</v>
      </c>
      <c r="O43">
        <v>1</v>
      </c>
      <c r="P43">
        <v>0</v>
      </c>
    </row>
    <row r="44" spans="12:16" x14ac:dyDescent="0.25">
      <c r="L44" t="str">
        <v>DV 11</v>
      </c>
      <c r="M44" t="str">
        <v>Sayago</v>
      </c>
      <c r="N44" t="str">
        <v>Cno. Ariel 4626</v>
      </c>
      <c r="O44">
        <v>0</v>
      </c>
      <c r="P44">
        <v>0</v>
      </c>
    </row>
    <row r="45" spans="12:16" x14ac:dyDescent="0.25">
      <c r="L45" t="str">
        <v>DV 12</v>
      </c>
      <c r="M45" t="str">
        <v>Pando</v>
      </c>
      <c r="N45" t="str">
        <v>Ruta 8 km 30.800, Pando.</v>
      </c>
      <c r="O45">
        <v>0</v>
      </c>
      <c r="P45">
        <v>0</v>
      </c>
    </row>
    <row r="46" spans="12:16" x14ac:dyDescent="0.25">
      <c r="L46" t="str">
        <v>DV 13</v>
      </c>
      <c r="M46" t="str">
        <v>Piriapolis Rambla</v>
      </c>
      <c r="N46" t="str">
        <v>Rbla. de los Argentinos y Vázquez, Piriapolis</v>
      </c>
      <c r="O46">
        <v>0</v>
      </c>
      <c r="P46">
        <v>0</v>
      </c>
    </row>
    <row r="47" spans="12:16" x14ac:dyDescent="0.25">
      <c r="L47" t="str">
        <v>DV 14</v>
      </c>
      <c r="M47" t="str">
        <v>Hiperpiria</v>
      </c>
      <c r="N47" t="str">
        <v>Av. Piria y Bs.As, Piriapolis</v>
      </c>
      <c r="O47">
        <v>0</v>
      </c>
      <c r="P47">
        <v>0</v>
      </c>
    </row>
    <row r="48" spans="12:16" x14ac:dyDescent="0.25">
      <c r="L48" t="str">
        <v>DV 15</v>
      </c>
      <c r="M48" t="str">
        <v>Agraciada</v>
      </c>
      <c r="N48" t="str">
        <v>Agraciada y Fco. Gómez</v>
      </c>
      <c r="O48">
        <v>0</v>
      </c>
      <c r="P48">
        <v>0</v>
      </c>
    </row>
    <row r="49" spans="12:16" x14ac:dyDescent="0.25">
      <c r="L49" t="str">
        <v>DV 16</v>
      </c>
      <c r="M49" t="str">
        <v>San Martín II</v>
      </c>
      <c r="N49" t="str">
        <v>Av. Gral. San Martín 3083</v>
      </c>
      <c r="O49">
        <v>0</v>
      </c>
      <c r="P49">
        <v>0</v>
      </c>
    </row>
    <row r="50" spans="12:16" x14ac:dyDescent="0.25">
      <c r="L50" t="str">
        <v>DV 18</v>
      </c>
      <c r="M50" t="str">
        <v>Las Piedras I</v>
      </c>
      <c r="N50" t="str">
        <v>Juan A. Lavalleja 671</v>
      </c>
      <c r="O50">
        <v>0</v>
      </c>
      <c r="P50">
        <v>0</v>
      </c>
    </row>
    <row r="51" spans="12:16" x14ac:dyDescent="0.25">
      <c r="L51" t="str">
        <v>DV 19</v>
      </c>
      <c r="M51" t="str">
        <v>Prado - Suárez</v>
      </c>
      <c r="N51" t="str">
        <v>Joaquín Suarez 3458</v>
      </c>
      <c r="O51">
        <v>1</v>
      </c>
      <c r="P51">
        <v>0</v>
      </c>
    </row>
    <row r="52" spans="12:16" x14ac:dyDescent="0.25">
      <c r="L52" t="str">
        <v>DV 20</v>
      </c>
      <c r="M52" t="str">
        <v>Arenal Grande</v>
      </c>
      <c r="N52" t="str">
        <v>Arenal Grande 2006</v>
      </c>
      <c r="O52">
        <v>0</v>
      </c>
      <c r="P52">
        <v>0</v>
      </c>
    </row>
    <row r="53" spans="12:16" x14ac:dyDescent="0.25">
      <c r="L53" t="str">
        <v>DV 21</v>
      </c>
      <c r="M53" t="str">
        <v>8 de Octubre</v>
      </c>
      <c r="N53" t="str">
        <v>8 de Octubre 3621</v>
      </c>
      <c r="O53">
        <v>0</v>
      </c>
      <c r="P53">
        <v>0</v>
      </c>
    </row>
    <row r="54" spans="12:16" x14ac:dyDescent="0.25">
      <c r="L54" t="str">
        <v>DV 22</v>
      </c>
      <c r="M54" t="str">
        <v>26 de Marzo</v>
      </c>
      <c r="N54" t="str">
        <v>26 de Marzo esq. Lorenzo Pérez</v>
      </c>
      <c r="O54">
        <v>0</v>
      </c>
      <c r="P54">
        <v>0</v>
      </c>
    </row>
    <row r="55" spans="12:16" x14ac:dyDescent="0.25">
      <c r="L55" t="str">
        <v>DV 23</v>
      </c>
      <c r="M55" t="str">
        <v>Coronel Mora</v>
      </c>
      <c r="N55" t="str">
        <v>Coronel Mora y Agr. Francisco Ros</v>
      </c>
      <c r="O55">
        <v>0</v>
      </c>
      <c r="P55">
        <v>0</v>
      </c>
    </row>
    <row r="56" spans="12:16" x14ac:dyDescent="0.25">
      <c r="L56" t="str">
        <v>DV 24</v>
      </c>
      <c r="M56" t="str">
        <v>San Quintín</v>
      </c>
      <c r="N56" t="str">
        <v>Av. San Quintín 4376</v>
      </c>
      <c r="O56">
        <v>1</v>
      </c>
      <c r="P56">
        <v>0</v>
      </c>
    </row>
    <row r="57" spans="12:16" x14ac:dyDescent="0.25">
      <c r="L57" t="str">
        <v>DV 25</v>
      </c>
      <c r="M57" t="str">
        <v>Las Piedras II</v>
      </c>
      <c r="N57" t="str">
        <v>Av. Dr. Pouey 622.</v>
      </c>
      <c r="O57">
        <v>0</v>
      </c>
      <c r="P57">
        <v>0</v>
      </c>
    </row>
    <row r="118" spans="10:12" x14ac:dyDescent="0.25">
      <c r="J118" s="45"/>
      <c r="K118" s="46"/>
      <c r="L118" s="47"/>
    </row>
    <row r="119" spans="10:12" x14ac:dyDescent="0.25">
      <c r="J119" s="48"/>
      <c r="K119" s="49"/>
      <c r="L119" s="50"/>
    </row>
    <row r="120" spans="10:12" x14ac:dyDescent="0.25">
      <c r="J120" s="48"/>
      <c r="K120" s="49"/>
      <c r="L120" s="50"/>
    </row>
    <row r="121" spans="10:12" x14ac:dyDescent="0.25">
      <c r="J121" s="48"/>
      <c r="K121" s="49"/>
      <c r="L121" s="50"/>
    </row>
    <row r="122" spans="10:12" x14ac:dyDescent="0.25">
      <c r="J122" s="48"/>
      <c r="K122" s="49"/>
      <c r="L122" s="50"/>
    </row>
    <row r="123" spans="10:12" x14ac:dyDescent="0.25">
      <c r="J123" s="48"/>
      <c r="K123" s="49"/>
      <c r="L123" s="50"/>
    </row>
    <row r="124" spans="10:12" x14ac:dyDescent="0.25">
      <c r="J124" s="48"/>
      <c r="K124" s="49"/>
      <c r="L124" s="50"/>
    </row>
    <row r="125" spans="10:12" x14ac:dyDescent="0.25">
      <c r="J125" s="48"/>
      <c r="K125" s="49"/>
      <c r="L125" s="50"/>
    </row>
    <row r="126" spans="10:12" x14ac:dyDescent="0.25">
      <c r="J126" s="48"/>
      <c r="K126" s="49"/>
      <c r="L126" s="50"/>
    </row>
    <row r="127" spans="10:12" x14ac:dyDescent="0.25">
      <c r="J127" s="48"/>
      <c r="K127" s="49"/>
      <c r="L127" s="50"/>
    </row>
    <row r="128" spans="10:12" x14ac:dyDescent="0.25">
      <c r="J128" s="48"/>
      <c r="K128" s="49"/>
      <c r="L128" s="50"/>
    </row>
    <row r="129" spans="10:12" x14ac:dyDescent="0.25">
      <c r="J129" s="48"/>
      <c r="K129" s="49"/>
      <c r="L129" s="50"/>
    </row>
    <row r="130" spans="10:12" x14ac:dyDescent="0.25">
      <c r="J130" s="48"/>
      <c r="K130" s="49"/>
      <c r="L130" s="50"/>
    </row>
    <row r="131" spans="10:12" x14ac:dyDescent="0.25">
      <c r="J131" s="48"/>
      <c r="K131" s="49"/>
      <c r="L131" s="50"/>
    </row>
    <row r="132" spans="10:12" x14ac:dyDescent="0.25">
      <c r="J132" s="48"/>
      <c r="K132" s="49"/>
      <c r="L132" s="50"/>
    </row>
    <row r="133" spans="10:12" x14ac:dyDescent="0.25">
      <c r="J133" s="48"/>
      <c r="K133" s="49"/>
      <c r="L133" s="50"/>
    </row>
    <row r="134" spans="10:12" x14ac:dyDescent="0.25">
      <c r="J134" s="48"/>
      <c r="K134" s="49"/>
      <c r="L134" s="50"/>
    </row>
    <row r="135" spans="10:12" x14ac:dyDescent="0.25">
      <c r="J135" s="51"/>
      <c r="K135" s="52"/>
      <c r="L135" s="53"/>
    </row>
  </sheetData>
  <mergeCells count="2">
    <mergeCell ref="C4:D4"/>
    <mergeCell ref="C5:D5"/>
  </mergeCells>
  <conditionalFormatting sqref="C6:E34">
    <cfRule type="expression" dxfId="5" priority="2">
      <formula>MAX(IFERROR(FIND("Pando",$G6),0),IFERROR(FIND("Canelones",$G6),0))&lt;&gt;0</formula>
    </cfRule>
    <cfRule type="expression" dxfId="4" priority="3">
      <formula>MAX(IFERROR(FIND("del Es",$G6),0),IFERROR(FIND("Piriapolis",$G6),0),IFERROR(FIND(", Maldonado",$G6),0))&lt;&gt;0</formula>
    </cfRule>
    <cfRule type="expression" dxfId="3" priority="5">
      <formula>MAX(IFERROR(FIND("Atlántida",$G6),0),IFERROR(FIND("Solymar",$G6),0),IFERROR(FIND("Médanos",$G6),0),IFERROR(FIND("Pinar",$G6),0))&lt;&gt;0</formula>
    </cfRule>
  </conditionalFormatting>
  <conditionalFormatting sqref="C6:G34">
    <cfRule type="expression" dxfId="2" priority="6">
      <formula>AND(MOD(ROW($C6),2)=1, NOT(ISBLANK($C6)))</formula>
    </cfRule>
    <cfRule type="expression" dxfId="1" priority="7">
      <formula>NOT(ISBLANK($C6))</formula>
    </cfRule>
  </conditionalFormatting>
  <conditionalFormatting sqref="F6:F50">
    <cfRule type="expression" dxfId="0" priority="1">
      <formula>NOT(ISBLANK(F6))</formula>
    </cfRule>
  </conditionalFormatting>
  <dataValidations count="1">
    <dataValidation type="list" operator="equal" allowBlank="1" showInputMessage="1" showErrorMessage="1" sqref="C4" xr:uid="{DD0E8ABD-4F0E-4529-8FFE-0DBCC14FD069}">
      <formula1>"Enero, Febrero, Marzo, Abril, Mayo, Junio, Julio, Agosto, Setiembre, Octubre, Noviembre, Diciembre"</formula1>
    </dataValidation>
  </dataValidations>
  <pageMargins left="0.7" right="0.7" top="0.75" bottom="0.75" header="0.3" footer="0.3"/>
  <pageSetup paperSize="9" scale="81" fitToHeight="0" orientation="portrait" horizontalDpi="360" verticalDpi="360"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66FC1-BC39-4F87-AB7C-E9BAC95A1407}">
  <dimension ref="B3:E13"/>
  <sheetViews>
    <sheetView workbookViewId="0">
      <selection activeCell="E28" sqref="E28"/>
    </sheetView>
  </sheetViews>
  <sheetFormatPr baseColWidth="10" defaultColWidth="8.85546875" defaultRowHeight="15" x14ac:dyDescent="0.25"/>
  <cols>
    <col min="3" max="3" width="16.7109375" customWidth="1"/>
    <col min="5" max="5" width="41.42578125" customWidth="1"/>
  </cols>
  <sheetData>
    <row r="3" spans="2:5" x14ac:dyDescent="0.25">
      <c r="E3" t="s">
        <v>181</v>
      </c>
    </row>
    <row r="4" spans="2:5" ht="21" x14ac:dyDescent="0.35">
      <c r="B4" s="79" t="s">
        <v>174</v>
      </c>
      <c r="E4" t="s">
        <v>182</v>
      </c>
    </row>
    <row r="5" spans="2:5" x14ac:dyDescent="0.25">
      <c r="B5" s="82" t="s">
        <v>176</v>
      </c>
      <c r="C5" s="82"/>
      <c r="D5" s="82" t="s">
        <v>183</v>
      </c>
      <c r="E5" s="80" t="s">
        <v>178</v>
      </c>
    </row>
    <row r="6" spans="2:5" x14ac:dyDescent="0.25">
      <c r="B6" s="81" t="s">
        <v>25</v>
      </c>
      <c r="C6" s="81" t="s">
        <v>26</v>
      </c>
      <c r="D6" s="81" t="s">
        <v>184</v>
      </c>
      <c r="E6" s="81" t="s">
        <v>27</v>
      </c>
    </row>
    <row r="7" spans="2:5" x14ac:dyDescent="0.25">
      <c r="B7" s="81" t="s">
        <v>52</v>
      </c>
      <c r="C7" s="81" t="s">
        <v>53</v>
      </c>
      <c r="D7" s="81" t="s">
        <v>184</v>
      </c>
      <c r="E7" s="81" t="s">
        <v>54</v>
      </c>
    </row>
    <row r="8" spans="2:5" x14ac:dyDescent="0.25">
      <c r="B8" s="81" t="s">
        <v>73</v>
      </c>
      <c r="C8" s="81" t="s">
        <v>74</v>
      </c>
      <c r="D8" s="81" t="s">
        <v>184</v>
      </c>
      <c r="E8" s="81" t="s">
        <v>75</v>
      </c>
    </row>
    <row r="9" spans="2:5" x14ac:dyDescent="0.25">
      <c r="B9" s="81" t="s">
        <v>79</v>
      </c>
      <c r="C9" s="81" t="s">
        <v>80</v>
      </c>
      <c r="D9" s="81" t="s">
        <v>184</v>
      </c>
      <c r="E9" s="81" t="s">
        <v>81</v>
      </c>
    </row>
    <row r="10" spans="2:5" x14ac:dyDescent="0.25">
      <c r="B10" s="81" t="s">
        <v>82</v>
      </c>
      <c r="C10" s="81" t="s">
        <v>83</v>
      </c>
      <c r="D10" s="81" t="s">
        <v>184</v>
      </c>
      <c r="E10" s="81" t="s">
        <v>84</v>
      </c>
    </row>
    <row r="11" spans="2:5" x14ac:dyDescent="0.25">
      <c r="B11" s="81" t="s">
        <v>109</v>
      </c>
      <c r="C11" s="81" t="s">
        <v>110</v>
      </c>
      <c r="D11" s="81" t="s">
        <v>184</v>
      </c>
      <c r="E11" s="81" t="s">
        <v>111</v>
      </c>
    </row>
    <row r="12" spans="2:5" x14ac:dyDescent="0.25">
      <c r="B12" s="81" t="s">
        <v>139</v>
      </c>
      <c r="C12" s="81" t="s">
        <v>140</v>
      </c>
      <c r="D12" s="81" t="s">
        <v>184</v>
      </c>
      <c r="E12" s="81" t="s">
        <v>141</v>
      </c>
    </row>
    <row r="13" spans="2:5" x14ac:dyDescent="0.25">
      <c r="B13" s="81" t="s">
        <v>167</v>
      </c>
      <c r="C13" s="81" t="s">
        <v>168</v>
      </c>
      <c r="D13" s="81" t="s">
        <v>184</v>
      </c>
      <c r="E13" s="81" t="s">
        <v>169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G213"/>
  <sheetViews>
    <sheetView workbookViewId="0"/>
  </sheetViews>
  <sheetFormatPr baseColWidth="10" defaultColWidth="9.140625" defaultRowHeight="15.75" customHeight="1" x14ac:dyDescent="0.25"/>
  <cols>
    <col min="1" max="1" width="9.140625" style="2" customWidth="1"/>
    <col min="2" max="2" width="10.7109375" style="9" customWidth="1"/>
    <col min="3" max="4" width="55.7109375" style="3" customWidth="1"/>
    <col min="5" max="7" width="3.7109375" style="1" customWidth="1"/>
    <col min="8" max="8" width="3.7109375" style="10" customWidth="1"/>
    <col min="9" max="11" width="3.7109375" style="1" customWidth="1"/>
    <col min="12" max="12" width="3.7109375" style="10" customWidth="1"/>
    <col min="13" max="15" width="3.7109375" style="1" customWidth="1"/>
    <col min="16" max="16" width="3.7109375" style="10" customWidth="1"/>
    <col min="17" max="19" width="3.7109375" style="1" customWidth="1"/>
    <col min="20" max="21" width="3.7109375" style="10" customWidth="1"/>
    <col min="22" max="23" width="3.7109375" style="1" customWidth="1"/>
    <col min="24" max="24" width="4.5703125" style="1" customWidth="1"/>
    <col min="25" max="25" width="3.7109375" style="10" customWidth="1"/>
    <col min="26" max="28" width="3.7109375" style="1" customWidth="1"/>
    <col min="29" max="29" width="3.7109375" style="10" customWidth="1"/>
    <col min="30" max="40" width="3.7109375" style="1" customWidth="1"/>
    <col min="41" max="41" width="3.7109375" style="10" customWidth="1"/>
    <col min="42" max="44" width="3.7109375" style="1" customWidth="1"/>
    <col min="45" max="45" width="3.7109375" style="10" customWidth="1"/>
    <col min="46" max="52" width="3.7109375" style="1" customWidth="1"/>
    <col min="53" max="53" width="3.7109375" style="10" customWidth="1"/>
    <col min="54" max="56" width="3.7109375" style="1" customWidth="1"/>
    <col min="57" max="57" width="3.7109375" style="10" customWidth="1"/>
    <col min="58" max="58" width="9.140625" style="2"/>
    <col min="59" max="59" width="9.140625" style="1"/>
    <col min="60" max="16384" width="9.140625" style="2"/>
  </cols>
  <sheetData>
    <row r="1" spans="2:59" ht="15.75" customHeight="1" thickBot="1" x14ac:dyDescent="0.3">
      <c r="H1" s="1"/>
      <c r="L1" s="1"/>
      <c r="P1" s="1"/>
      <c r="T1" s="1"/>
      <c r="U1" s="1"/>
      <c r="Y1" s="1"/>
      <c r="AC1" s="1"/>
      <c r="AO1" s="1"/>
      <c r="AS1" s="1"/>
      <c r="BA1" s="1"/>
      <c r="BE1" s="1"/>
    </row>
    <row r="2" spans="2:59" ht="15.75" customHeight="1" x14ac:dyDescent="0.25">
      <c r="B2" s="97" t="s">
        <v>0</v>
      </c>
      <c r="C2" s="99" t="s">
        <v>1</v>
      </c>
      <c r="D2" s="101" t="s">
        <v>2</v>
      </c>
      <c r="E2" s="106" t="s">
        <v>3</v>
      </c>
      <c r="F2" s="107"/>
      <c r="G2" s="107"/>
      <c r="H2" s="108"/>
      <c r="I2" s="106" t="s">
        <v>4</v>
      </c>
      <c r="J2" s="107"/>
      <c r="K2" s="107"/>
      <c r="L2" s="108"/>
      <c r="M2" s="106" t="s">
        <v>5</v>
      </c>
      <c r="N2" s="107"/>
      <c r="O2" s="107"/>
      <c r="P2" s="108"/>
      <c r="Q2" s="106" t="s">
        <v>6</v>
      </c>
      <c r="R2" s="107"/>
      <c r="S2" s="107"/>
      <c r="T2" s="108"/>
      <c r="U2" s="106" t="s">
        <v>7</v>
      </c>
      <c r="V2" s="107"/>
      <c r="W2" s="107"/>
      <c r="X2" s="108"/>
      <c r="Y2" s="106" t="s">
        <v>8</v>
      </c>
      <c r="Z2" s="107"/>
      <c r="AA2" s="107"/>
      <c r="AB2" s="108"/>
      <c r="AC2" s="106" t="s">
        <v>9</v>
      </c>
      <c r="AD2" s="107"/>
      <c r="AE2" s="107"/>
      <c r="AF2" s="108"/>
      <c r="AG2" s="106" t="s">
        <v>10</v>
      </c>
      <c r="AH2" s="107"/>
      <c r="AI2" s="107"/>
      <c r="AJ2" s="107"/>
      <c r="AK2" s="108"/>
      <c r="AL2" s="106" t="s">
        <v>11</v>
      </c>
      <c r="AM2" s="107"/>
      <c r="AN2" s="107"/>
      <c r="AO2" s="108"/>
      <c r="AP2" s="106" t="s">
        <v>12</v>
      </c>
      <c r="AQ2" s="107"/>
      <c r="AR2" s="107"/>
      <c r="AS2" s="108"/>
      <c r="AT2" s="106" t="s">
        <v>13</v>
      </c>
      <c r="AU2" s="107"/>
      <c r="AV2" s="107"/>
      <c r="AW2" s="108"/>
      <c r="AX2" s="106" t="s">
        <v>14</v>
      </c>
      <c r="AY2" s="107"/>
      <c r="AZ2" s="107"/>
      <c r="BA2" s="108"/>
      <c r="BB2" s="103" t="s">
        <v>185</v>
      </c>
      <c r="BC2" s="104"/>
      <c r="BD2" s="104"/>
      <c r="BE2" s="105"/>
      <c r="BG2" s="1" t="s">
        <v>186</v>
      </c>
    </row>
    <row r="3" spans="2:59" ht="15.75" customHeight="1" thickBot="1" x14ac:dyDescent="0.3">
      <c r="B3" s="98"/>
      <c r="C3" s="100"/>
      <c r="D3" s="102"/>
      <c r="E3" s="13">
        <v>1</v>
      </c>
      <c r="F3" s="12">
        <v>2</v>
      </c>
      <c r="G3" s="12">
        <v>3</v>
      </c>
      <c r="H3" s="14">
        <v>4</v>
      </c>
      <c r="I3" s="13">
        <v>5</v>
      </c>
      <c r="J3" s="12">
        <v>6</v>
      </c>
      <c r="K3" s="12">
        <v>7</v>
      </c>
      <c r="L3" s="14">
        <v>8</v>
      </c>
      <c r="M3" s="13">
        <v>9</v>
      </c>
      <c r="N3" s="12">
        <v>10</v>
      </c>
      <c r="O3" s="12">
        <v>11</v>
      </c>
      <c r="P3" s="14">
        <v>12</v>
      </c>
      <c r="Q3" s="13">
        <v>13</v>
      </c>
      <c r="R3" s="12">
        <v>14</v>
      </c>
      <c r="S3" s="12">
        <v>15</v>
      </c>
      <c r="T3" s="14">
        <v>16</v>
      </c>
      <c r="U3" s="13">
        <v>17</v>
      </c>
      <c r="V3" s="12">
        <v>18</v>
      </c>
      <c r="W3" s="12">
        <v>19</v>
      </c>
      <c r="X3" s="14">
        <v>20</v>
      </c>
      <c r="Y3" s="13">
        <v>21</v>
      </c>
      <c r="Z3" s="12">
        <v>22</v>
      </c>
      <c r="AA3" s="12">
        <v>23</v>
      </c>
      <c r="AB3" s="14">
        <v>24</v>
      </c>
      <c r="AC3" s="13">
        <v>25</v>
      </c>
      <c r="AD3" s="12">
        <v>26</v>
      </c>
      <c r="AE3" s="12">
        <v>27</v>
      </c>
      <c r="AF3" s="14">
        <v>28</v>
      </c>
      <c r="AG3" s="13">
        <v>29</v>
      </c>
      <c r="AH3" s="12">
        <v>30</v>
      </c>
      <c r="AI3" s="12">
        <v>31</v>
      </c>
      <c r="AJ3" s="12">
        <v>32</v>
      </c>
      <c r="AK3" s="14">
        <v>33</v>
      </c>
      <c r="AL3" s="13">
        <v>34</v>
      </c>
      <c r="AM3" s="12">
        <v>35</v>
      </c>
      <c r="AN3" s="12">
        <v>36</v>
      </c>
      <c r="AO3" s="14">
        <v>37</v>
      </c>
      <c r="AP3" s="13">
        <v>38</v>
      </c>
      <c r="AQ3" s="12">
        <v>39</v>
      </c>
      <c r="AR3" s="12">
        <v>40</v>
      </c>
      <c r="AS3" s="14">
        <v>41</v>
      </c>
      <c r="AT3" s="13">
        <v>42</v>
      </c>
      <c r="AU3" s="12">
        <v>43</v>
      </c>
      <c r="AV3" s="12">
        <v>44</v>
      </c>
      <c r="AW3" s="14">
        <v>45</v>
      </c>
      <c r="AX3" s="13">
        <v>46</v>
      </c>
      <c r="AY3" s="12">
        <v>47</v>
      </c>
      <c r="AZ3" s="12">
        <v>48</v>
      </c>
      <c r="BA3" s="14">
        <v>49</v>
      </c>
      <c r="BB3" s="32"/>
      <c r="BC3" s="7"/>
      <c r="BD3" s="7"/>
      <c r="BE3" s="8"/>
    </row>
    <row r="4" spans="2:59" ht="15.75" customHeight="1" x14ac:dyDescent="0.25">
      <c r="B4" s="15" t="s">
        <v>187</v>
      </c>
      <c r="C4" s="11" t="s">
        <v>188</v>
      </c>
      <c r="D4" s="16" t="s">
        <v>189</v>
      </c>
      <c r="E4" s="23"/>
      <c r="F4" s="24"/>
      <c r="G4" s="24"/>
      <c r="H4" s="29">
        <v>1</v>
      </c>
      <c r="I4" s="23"/>
      <c r="J4" s="24"/>
      <c r="K4" s="24"/>
      <c r="L4" s="29">
        <v>1</v>
      </c>
      <c r="M4" s="23"/>
      <c r="N4" s="24"/>
      <c r="O4" s="24"/>
      <c r="P4" s="29">
        <v>1</v>
      </c>
      <c r="Q4" s="23"/>
      <c r="R4" s="24"/>
      <c r="S4" s="24"/>
      <c r="T4" s="29">
        <v>1</v>
      </c>
      <c r="U4" s="23"/>
      <c r="V4" s="24"/>
      <c r="W4" s="24"/>
      <c r="X4" s="29">
        <v>1</v>
      </c>
      <c r="Y4" s="23"/>
      <c r="Z4" s="24"/>
      <c r="AA4" s="24"/>
      <c r="AB4" s="29">
        <v>1</v>
      </c>
      <c r="AC4" s="23"/>
      <c r="AD4" s="24"/>
      <c r="AE4" s="24"/>
      <c r="AF4" s="29">
        <v>1</v>
      </c>
      <c r="AG4" s="23"/>
      <c r="AH4" s="24"/>
      <c r="AI4" s="24"/>
      <c r="AJ4" s="24">
        <v>1</v>
      </c>
      <c r="AK4" s="29"/>
      <c r="AL4" s="23"/>
      <c r="AM4" s="24"/>
      <c r="AN4" s="24"/>
      <c r="AO4" s="29">
        <v>1</v>
      </c>
      <c r="AP4" s="23"/>
      <c r="AQ4" s="24"/>
      <c r="AR4" s="24"/>
      <c r="AS4" s="29">
        <v>1</v>
      </c>
      <c r="AT4" s="23"/>
      <c r="AU4" s="24"/>
      <c r="AV4" s="24"/>
      <c r="AW4" s="29">
        <v>1</v>
      </c>
      <c r="AX4" s="23"/>
      <c r="AY4" s="24"/>
      <c r="AZ4" s="24"/>
      <c r="BA4" s="29">
        <v>1</v>
      </c>
      <c r="BB4" s="24"/>
      <c r="BC4" s="24"/>
      <c r="BD4" s="24"/>
      <c r="BE4" s="25">
        <v>1</v>
      </c>
      <c r="BG4" s="1">
        <f>SUM(E4:BE4)</f>
        <v>13</v>
      </c>
    </row>
    <row r="5" spans="2:59" ht="15.75" customHeight="1" x14ac:dyDescent="0.25">
      <c r="B5" s="17" t="s">
        <v>190</v>
      </c>
      <c r="C5" s="5" t="s">
        <v>191</v>
      </c>
      <c r="D5" s="18" t="s">
        <v>192</v>
      </c>
      <c r="E5" s="4"/>
      <c r="F5" s="26"/>
      <c r="G5" s="26"/>
      <c r="H5" s="30"/>
      <c r="I5" s="4"/>
      <c r="J5" s="26"/>
      <c r="K5" s="26"/>
      <c r="L5" s="30">
        <v>1</v>
      </c>
      <c r="M5" s="4"/>
      <c r="N5" s="26"/>
      <c r="O5" s="26"/>
      <c r="P5" s="30"/>
      <c r="Q5" s="4"/>
      <c r="R5" s="26"/>
      <c r="S5" s="26"/>
      <c r="T5" s="30">
        <v>1</v>
      </c>
      <c r="U5" s="4"/>
      <c r="V5" s="26"/>
      <c r="W5" s="26"/>
      <c r="X5" s="30"/>
      <c r="Y5" s="4"/>
      <c r="Z5" s="26"/>
      <c r="AA5" s="26"/>
      <c r="AB5" s="30">
        <v>1</v>
      </c>
      <c r="AC5" s="4"/>
      <c r="AD5" s="26"/>
      <c r="AE5" s="26"/>
      <c r="AF5" s="30"/>
      <c r="AG5" s="4"/>
      <c r="AH5" s="26"/>
      <c r="AI5" s="26"/>
      <c r="AJ5" s="26"/>
      <c r="AK5" s="30">
        <v>1</v>
      </c>
      <c r="AL5" s="4"/>
      <c r="AM5" s="26"/>
      <c r="AN5" s="26"/>
      <c r="AO5" s="30"/>
      <c r="AP5" s="4"/>
      <c r="AQ5" s="26"/>
      <c r="AR5" s="26"/>
      <c r="AS5" s="30">
        <v>1</v>
      </c>
      <c r="AT5" s="4"/>
      <c r="AU5" s="26"/>
      <c r="AV5" s="26"/>
      <c r="AW5" s="30"/>
      <c r="AX5" s="4"/>
      <c r="AY5" s="26"/>
      <c r="AZ5" s="26"/>
      <c r="BA5" s="30">
        <v>1</v>
      </c>
      <c r="BB5" s="26"/>
      <c r="BC5" s="26"/>
      <c r="BD5" s="26"/>
      <c r="BE5" s="6"/>
      <c r="BG5" s="1">
        <f t="shared" ref="BG5:BG57" si="0">SUM(E5:BE5)</f>
        <v>6</v>
      </c>
    </row>
    <row r="6" spans="2:59" ht="15.75" customHeight="1" x14ac:dyDescent="0.25">
      <c r="B6" s="19" t="s">
        <v>19</v>
      </c>
      <c r="C6" s="5" t="s">
        <v>193</v>
      </c>
      <c r="D6" s="18" t="s">
        <v>194</v>
      </c>
      <c r="E6" s="4"/>
      <c r="F6" s="26"/>
      <c r="G6" s="26"/>
      <c r="H6" s="30"/>
      <c r="I6" s="4"/>
      <c r="J6" s="26">
        <v>1</v>
      </c>
      <c r="K6" s="26"/>
      <c r="L6" s="30"/>
      <c r="M6" s="4"/>
      <c r="N6" s="26"/>
      <c r="O6" s="26"/>
      <c r="P6" s="30">
        <v>1</v>
      </c>
      <c r="Q6" s="4"/>
      <c r="R6" s="26"/>
      <c r="S6" s="26"/>
      <c r="T6" s="30"/>
      <c r="U6" s="4"/>
      <c r="V6" s="26"/>
      <c r="W6" s="26"/>
      <c r="X6" s="30"/>
      <c r="Y6" s="4"/>
      <c r="Z6" s="26"/>
      <c r="AA6" s="26">
        <v>1</v>
      </c>
      <c r="AB6" s="30"/>
      <c r="AC6" s="4"/>
      <c r="AD6" s="26"/>
      <c r="AE6" s="26"/>
      <c r="AF6" s="30"/>
      <c r="AG6" s="4"/>
      <c r="AH6" s="26">
        <v>1</v>
      </c>
      <c r="AI6" s="26"/>
      <c r="AJ6" s="26"/>
      <c r="AK6" s="30"/>
      <c r="AL6" s="4"/>
      <c r="AM6" s="26"/>
      <c r="AN6" s="26"/>
      <c r="AO6" s="30">
        <v>1</v>
      </c>
      <c r="AP6" s="4"/>
      <c r="AQ6" s="26"/>
      <c r="AR6" s="26"/>
      <c r="AS6" s="30"/>
      <c r="AT6" s="4"/>
      <c r="AU6" s="26">
        <v>1</v>
      </c>
      <c r="AV6" s="26"/>
      <c r="AW6" s="30"/>
      <c r="AX6" s="4"/>
      <c r="AY6" s="26"/>
      <c r="AZ6" s="26"/>
      <c r="BA6" s="30">
        <v>1</v>
      </c>
      <c r="BB6" s="26"/>
      <c r="BC6" s="26">
        <v>1</v>
      </c>
      <c r="BD6" s="26"/>
      <c r="BE6" s="6"/>
      <c r="BG6" s="1">
        <f t="shared" si="0"/>
        <v>8</v>
      </c>
    </row>
    <row r="7" spans="2:59" ht="15.75" customHeight="1" x14ac:dyDescent="0.25">
      <c r="B7" s="19" t="s">
        <v>22</v>
      </c>
      <c r="C7" s="5" t="s">
        <v>195</v>
      </c>
      <c r="D7" s="18" t="s">
        <v>196</v>
      </c>
      <c r="E7" s="4"/>
      <c r="F7" s="26"/>
      <c r="G7" s="26">
        <v>1</v>
      </c>
      <c r="H7" s="30"/>
      <c r="I7" s="4"/>
      <c r="J7" s="26"/>
      <c r="K7" s="26"/>
      <c r="L7" s="30">
        <v>1</v>
      </c>
      <c r="M7" s="4"/>
      <c r="N7" s="26"/>
      <c r="O7" s="26"/>
      <c r="P7" s="30"/>
      <c r="Q7" s="4"/>
      <c r="R7" s="26">
        <v>1</v>
      </c>
      <c r="S7" s="26"/>
      <c r="T7" s="30"/>
      <c r="U7" s="4"/>
      <c r="V7" s="26"/>
      <c r="W7" s="26"/>
      <c r="X7" s="30"/>
      <c r="Y7" s="4"/>
      <c r="Z7" s="26"/>
      <c r="AA7" s="26"/>
      <c r="AB7" s="30"/>
      <c r="AC7" s="4"/>
      <c r="AD7" s="26"/>
      <c r="AE7" s="26">
        <v>1</v>
      </c>
      <c r="AF7" s="30"/>
      <c r="AG7" s="4"/>
      <c r="AH7" s="26"/>
      <c r="AI7" s="26"/>
      <c r="AJ7" s="26"/>
      <c r="AK7" s="30"/>
      <c r="AL7" s="4"/>
      <c r="AM7" s="26"/>
      <c r="AN7" s="26"/>
      <c r="AO7" s="30"/>
      <c r="AP7" s="4"/>
      <c r="AQ7" s="26"/>
      <c r="AR7" s="26"/>
      <c r="AS7" s="30">
        <v>1</v>
      </c>
      <c r="AT7" s="4"/>
      <c r="AU7" s="26"/>
      <c r="AV7" s="26"/>
      <c r="AW7" s="30"/>
      <c r="AX7" s="4"/>
      <c r="AY7" s="26">
        <v>1</v>
      </c>
      <c r="AZ7" s="26"/>
      <c r="BA7" s="30"/>
      <c r="BB7" s="26"/>
      <c r="BC7" s="26"/>
      <c r="BD7" s="26"/>
      <c r="BE7" s="6">
        <v>1</v>
      </c>
      <c r="BG7" s="1">
        <f t="shared" si="0"/>
        <v>7</v>
      </c>
    </row>
    <row r="8" spans="2:59" ht="15.75" customHeight="1" x14ac:dyDescent="0.25">
      <c r="B8" s="19" t="s">
        <v>25</v>
      </c>
      <c r="C8" s="5" t="s">
        <v>197</v>
      </c>
      <c r="D8" s="18" t="s">
        <v>198</v>
      </c>
      <c r="E8" s="4"/>
      <c r="F8" s="26"/>
      <c r="G8" s="26"/>
      <c r="H8" s="30">
        <v>1</v>
      </c>
      <c r="I8" s="4"/>
      <c r="J8" s="26"/>
      <c r="K8" s="26"/>
      <c r="L8" s="30"/>
      <c r="M8" s="4"/>
      <c r="N8" s="26"/>
      <c r="O8" s="26"/>
      <c r="P8" s="30"/>
      <c r="Q8" s="4"/>
      <c r="R8" s="26"/>
      <c r="S8" s="26">
        <v>1</v>
      </c>
      <c r="T8" s="30"/>
      <c r="U8" s="4"/>
      <c r="V8" s="26"/>
      <c r="W8" s="26"/>
      <c r="X8" s="30"/>
      <c r="Y8" s="4"/>
      <c r="Z8" s="26"/>
      <c r="AA8" s="26"/>
      <c r="AB8" s="30"/>
      <c r="AC8" s="4"/>
      <c r="AD8" s="26"/>
      <c r="AE8" s="26"/>
      <c r="AF8" s="30">
        <v>1</v>
      </c>
      <c r="AG8" s="4"/>
      <c r="AH8" s="26"/>
      <c r="AI8" s="26"/>
      <c r="AJ8" s="26"/>
      <c r="AK8" s="30"/>
      <c r="AL8" s="4"/>
      <c r="AM8" s="26"/>
      <c r="AN8" s="26"/>
      <c r="AO8" s="30"/>
      <c r="AP8" s="4"/>
      <c r="AQ8" s="26">
        <v>1</v>
      </c>
      <c r="AR8" s="26"/>
      <c r="AS8" s="30"/>
      <c r="AT8" s="4"/>
      <c r="AU8" s="26"/>
      <c r="AV8" s="26"/>
      <c r="AW8" s="30"/>
      <c r="AX8" s="4"/>
      <c r="AY8" s="26"/>
      <c r="AZ8" s="26"/>
      <c r="BA8" s="30"/>
      <c r="BB8" s="26"/>
      <c r="BC8" s="26"/>
      <c r="BD8" s="26"/>
      <c r="BE8" s="6"/>
      <c r="BG8" s="1">
        <f t="shared" si="0"/>
        <v>4</v>
      </c>
    </row>
    <row r="9" spans="2:59" ht="15.75" customHeight="1" x14ac:dyDescent="0.25">
      <c r="B9" s="19" t="s">
        <v>28</v>
      </c>
      <c r="C9" s="5" t="s">
        <v>199</v>
      </c>
      <c r="D9" s="18" t="s">
        <v>200</v>
      </c>
      <c r="E9" s="4"/>
      <c r="F9" s="26"/>
      <c r="G9" s="26"/>
      <c r="H9" s="30"/>
      <c r="I9" s="4"/>
      <c r="J9" s="26"/>
      <c r="K9" s="26"/>
      <c r="L9" s="30">
        <v>1</v>
      </c>
      <c r="M9" s="4"/>
      <c r="N9" s="26"/>
      <c r="O9" s="26"/>
      <c r="P9" s="30"/>
      <c r="Q9" s="4"/>
      <c r="R9" s="26"/>
      <c r="S9" s="26"/>
      <c r="T9" s="30"/>
      <c r="U9" s="4"/>
      <c r="V9" s="26"/>
      <c r="W9" s="26"/>
      <c r="X9" s="30">
        <v>1</v>
      </c>
      <c r="Y9" s="4"/>
      <c r="Z9" s="26"/>
      <c r="AA9" s="26"/>
      <c r="AB9" s="30"/>
      <c r="AC9" s="4"/>
      <c r="AD9" s="26"/>
      <c r="AE9" s="26"/>
      <c r="AF9" s="30"/>
      <c r="AG9" s="4"/>
      <c r="AH9" s="26">
        <v>1</v>
      </c>
      <c r="AI9" s="26"/>
      <c r="AJ9" s="26"/>
      <c r="AK9" s="30"/>
      <c r="AL9" s="4"/>
      <c r="AM9" s="26"/>
      <c r="AN9" s="26"/>
      <c r="AO9" s="30"/>
      <c r="AP9" s="4"/>
      <c r="AQ9" s="26"/>
      <c r="AR9" s="26"/>
      <c r="AS9" s="30"/>
      <c r="AT9" s="4"/>
      <c r="AU9" s="26"/>
      <c r="AV9" s="26"/>
      <c r="AW9" s="30"/>
      <c r="AX9" s="4">
        <v>1</v>
      </c>
      <c r="AY9" s="26"/>
      <c r="AZ9" s="26"/>
      <c r="BA9" s="30"/>
      <c r="BB9" s="26"/>
      <c r="BC9" s="26"/>
      <c r="BD9" s="26"/>
      <c r="BE9" s="6"/>
      <c r="BG9" s="1">
        <f t="shared" si="0"/>
        <v>4</v>
      </c>
    </row>
    <row r="10" spans="2:59" ht="15.75" customHeight="1" x14ac:dyDescent="0.25">
      <c r="B10" s="19" t="s">
        <v>31</v>
      </c>
      <c r="C10" s="5" t="s">
        <v>201</v>
      </c>
      <c r="D10" s="18" t="s">
        <v>202</v>
      </c>
      <c r="E10" s="4"/>
      <c r="F10" s="26"/>
      <c r="G10" s="26"/>
      <c r="H10" s="30">
        <v>1</v>
      </c>
      <c r="I10" s="4"/>
      <c r="J10" s="26"/>
      <c r="K10" s="26"/>
      <c r="L10" s="30"/>
      <c r="M10" s="4"/>
      <c r="N10" s="26">
        <v>1</v>
      </c>
      <c r="O10" s="26"/>
      <c r="P10" s="30"/>
      <c r="Q10" s="4"/>
      <c r="R10" s="26"/>
      <c r="S10" s="26"/>
      <c r="T10" s="30"/>
      <c r="U10" s="4"/>
      <c r="V10" s="26"/>
      <c r="W10" s="26"/>
      <c r="X10" s="30"/>
      <c r="Y10" s="4"/>
      <c r="Z10" s="26"/>
      <c r="AA10" s="26"/>
      <c r="AB10" s="30"/>
      <c r="AC10" s="4"/>
      <c r="AD10" s="26"/>
      <c r="AE10" s="26">
        <v>1</v>
      </c>
      <c r="AF10" s="30"/>
      <c r="AG10" s="4"/>
      <c r="AH10" s="26"/>
      <c r="AI10" s="26"/>
      <c r="AJ10" s="26"/>
      <c r="AK10" s="30"/>
      <c r="AL10" s="4"/>
      <c r="AM10" s="26"/>
      <c r="AN10" s="26"/>
      <c r="AO10" s="30"/>
      <c r="AP10" s="4"/>
      <c r="AQ10" s="26"/>
      <c r="AR10" s="26"/>
      <c r="AS10" s="30"/>
      <c r="AT10" s="4"/>
      <c r="AU10" s="26"/>
      <c r="AV10" s="26"/>
      <c r="AW10" s="30">
        <v>1</v>
      </c>
      <c r="AX10" s="4"/>
      <c r="AY10" s="26"/>
      <c r="AZ10" s="26"/>
      <c r="BA10" s="30">
        <v>1</v>
      </c>
      <c r="BB10" s="26"/>
      <c r="BC10" s="26"/>
      <c r="BD10" s="26"/>
      <c r="BE10" s="6"/>
      <c r="BG10" s="1">
        <f t="shared" si="0"/>
        <v>5</v>
      </c>
    </row>
    <row r="11" spans="2:59" ht="15.75" customHeight="1" x14ac:dyDescent="0.25">
      <c r="B11" s="19" t="s">
        <v>34</v>
      </c>
      <c r="C11" s="5" t="s">
        <v>203</v>
      </c>
      <c r="D11" s="18" t="s">
        <v>204</v>
      </c>
      <c r="E11" s="4"/>
      <c r="F11" s="26"/>
      <c r="G11" s="26"/>
      <c r="H11" s="30"/>
      <c r="I11" s="4"/>
      <c r="J11" s="26">
        <v>1</v>
      </c>
      <c r="K11" s="26"/>
      <c r="L11" s="30"/>
      <c r="M11" s="4"/>
      <c r="N11" s="26"/>
      <c r="O11" s="26"/>
      <c r="P11" s="30"/>
      <c r="Q11" s="4"/>
      <c r="R11" s="26"/>
      <c r="S11" s="26"/>
      <c r="T11" s="30"/>
      <c r="U11" s="4"/>
      <c r="V11" s="26"/>
      <c r="W11" s="26"/>
      <c r="X11" s="30"/>
      <c r="Y11" s="4"/>
      <c r="Z11" s="26"/>
      <c r="AA11" s="26"/>
      <c r="AB11" s="30"/>
      <c r="AC11" s="4"/>
      <c r="AD11" s="26"/>
      <c r="AE11" s="26"/>
      <c r="AF11" s="30"/>
      <c r="AG11" s="4"/>
      <c r="AH11" s="26"/>
      <c r="AI11" s="26"/>
      <c r="AJ11" s="26">
        <v>1</v>
      </c>
      <c r="AK11" s="30"/>
      <c r="AL11" s="4"/>
      <c r="AM11" s="26"/>
      <c r="AN11" s="26"/>
      <c r="AO11" s="30"/>
      <c r="AP11" s="4"/>
      <c r="AQ11" s="26"/>
      <c r="AR11" s="26"/>
      <c r="AS11" s="30"/>
      <c r="AT11" s="4"/>
      <c r="AU11" s="26"/>
      <c r="AV11" s="26"/>
      <c r="AW11" s="30"/>
      <c r="AX11" s="4"/>
      <c r="AY11" s="26"/>
      <c r="AZ11" s="26"/>
      <c r="BA11" s="30"/>
      <c r="BB11" s="26"/>
      <c r="BC11" s="26"/>
      <c r="BD11" s="26"/>
      <c r="BE11" s="6"/>
      <c r="BG11" s="1">
        <f t="shared" si="0"/>
        <v>2</v>
      </c>
    </row>
    <row r="12" spans="2:59" ht="15.75" customHeight="1" x14ac:dyDescent="0.25">
      <c r="B12" s="19" t="s">
        <v>37</v>
      </c>
      <c r="C12" s="5" t="s">
        <v>205</v>
      </c>
      <c r="D12" s="18" t="s">
        <v>206</v>
      </c>
      <c r="E12" s="4"/>
      <c r="F12" s="26"/>
      <c r="G12" s="26"/>
      <c r="H12" s="30"/>
      <c r="I12" s="4"/>
      <c r="J12" s="26"/>
      <c r="K12" s="26"/>
      <c r="L12" s="30"/>
      <c r="M12" s="4"/>
      <c r="N12" s="26"/>
      <c r="O12" s="26"/>
      <c r="P12" s="30">
        <v>1</v>
      </c>
      <c r="Q12" s="4"/>
      <c r="R12" s="26"/>
      <c r="S12" s="26"/>
      <c r="T12" s="30"/>
      <c r="U12" s="4"/>
      <c r="V12" s="26"/>
      <c r="W12" s="26"/>
      <c r="X12" s="30"/>
      <c r="Y12" s="4"/>
      <c r="Z12" s="26">
        <v>1</v>
      </c>
      <c r="AA12" s="26"/>
      <c r="AB12" s="30"/>
      <c r="AC12" s="4"/>
      <c r="AD12" s="26"/>
      <c r="AE12" s="26"/>
      <c r="AF12" s="30"/>
      <c r="AG12" s="4"/>
      <c r="AH12" s="26"/>
      <c r="AI12" s="26"/>
      <c r="AJ12" s="26"/>
      <c r="AK12" s="30"/>
      <c r="AL12" s="4"/>
      <c r="AM12" s="26"/>
      <c r="AN12" s="26"/>
      <c r="AO12" s="30">
        <v>1</v>
      </c>
      <c r="AP12" s="4"/>
      <c r="AQ12" s="26"/>
      <c r="AR12" s="26"/>
      <c r="AS12" s="30"/>
      <c r="AT12" s="4"/>
      <c r="AU12" s="26"/>
      <c r="AV12" s="26"/>
      <c r="AW12" s="30"/>
      <c r="AX12" s="4"/>
      <c r="AY12" s="26"/>
      <c r="AZ12" s="26"/>
      <c r="BA12" s="30">
        <v>1</v>
      </c>
      <c r="BB12" s="26"/>
      <c r="BC12" s="26"/>
      <c r="BD12" s="26"/>
      <c r="BE12" s="6"/>
      <c r="BG12" s="1">
        <f t="shared" si="0"/>
        <v>4</v>
      </c>
    </row>
    <row r="13" spans="2:59" ht="15.75" customHeight="1" x14ac:dyDescent="0.25">
      <c r="B13" s="19" t="s">
        <v>40</v>
      </c>
      <c r="C13" s="5" t="s">
        <v>207</v>
      </c>
      <c r="D13" s="18" t="s">
        <v>208</v>
      </c>
      <c r="E13" s="4"/>
      <c r="F13" s="26"/>
      <c r="G13" s="26"/>
      <c r="H13" s="30"/>
      <c r="I13" s="4"/>
      <c r="J13" s="26">
        <v>1</v>
      </c>
      <c r="K13" s="26"/>
      <c r="L13" s="30"/>
      <c r="M13" s="4"/>
      <c r="N13" s="26"/>
      <c r="O13" s="26"/>
      <c r="P13" s="30"/>
      <c r="Q13" s="4"/>
      <c r="R13" s="26">
        <v>1</v>
      </c>
      <c r="S13" s="26"/>
      <c r="T13" s="30"/>
      <c r="U13" s="4"/>
      <c r="V13" s="26"/>
      <c r="W13" s="26"/>
      <c r="X13" s="30"/>
      <c r="Y13" s="4"/>
      <c r="Z13" s="26"/>
      <c r="AA13" s="26"/>
      <c r="AB13" s="30"/>
      <c r="AC13" s="4"/>
      <c r="AD13" s="26"/>
      <c r="AE13" s="26">
        <v>1</v>
      </c>
      <c r="AF13" s="30"/>
      <c r="AG13" s="4"/>
      <c r="AH13" s="26"/>
      <c r="AI13" s="26"/>
      <c r="AJ13" s="26"/>
      <c r="AK13" s="30">
        <v>1</v>
      </c>
      <c r="AL13" s="4"/>
      <c r="AM13" s="26"/>
      <c r="AN13" s="26"/>
      <c r="AO13" s="30"/>
      <c r="AP13" s="4"/>
      <c r="AQ13" s="26">
        <v>1</v>
      </c>
      <c r="AR13" s="26"/>
      <c r="AS13" s="30"/>
      <c r="AT13" s="4"/>
      <c r="AU13" s="26"/>
      <c r="AV13" s="26"/>
      <c r="AW13" s="30">
        <v>1</v>
      </c>
      <c r="AX13" s="4"/>
      <c r="AY13" s="26"/>
      <c r="AZ13" s="26">
        <v>1</v>
      </c>
      <c r="BA13" s="30"/>
      <c r="BB13" s="26"/>
      <c r="BC13" s="26"/>
      <c r="BD13" s="26"/>
      <c r="BE13" s="6">
        <v>1</v>
      </c>
      <c r="BG13" s="1">
        <f t="shared" si="0"/>
        <v>8</v>
      </c>
    </row>
    <row r="14" spans="2:59" ht="15.75" customHeight="1" x14ac:dyDescent="0.25">
      <c r="B14" s="19" t="s">
        <v>43</v>
      </c>
      <c r="C14" s="5" t="s">
        <v>209</v>
      </c>
      <c r="D14" s="18" t="s">
        <v>210</v>
      </c>
      <c r="E14" s="4"/>
      <c r="F14" s="26"/>
      <c r="G14" s="26">
        <v>1</v>
      </c>
      <c r="H14" s="30"/>
      <c r="I14" s="4"/>
      <c r="J14" s="26"/>
      <c r="K14" s="26"/>
      <c r="L14" s="30"/>
      <c r="M14" s="4">
        <v>1</v>
      </c>
      <c r="N14" s="26"/>
      <c r="O14" s="26"/>
      <c r="P14" s="30"/>
      <c r="Q14" s="4"/>
      <c r="R14" s="26"/>
      <c r="S14" s="26">
        <v>1</v>
      </c>
      <c r="T14" s="30"/>
      <c r="U14" s="4"/>
      <c r="V14" s="26">
        <v>1</v>
      </c>
      <c r="W14" s="26"/>
      <c r="X14" s="30"/>
      <c r="Y14" s="4"/>
      <c r="Z14" s="26"/>
      <c r="AA14" s="26"/>
      <c r="AB14" s="30"/>
      <c r="AC14" s="4"/>
      <c r="AD14" s="26"/>
      <c r="AE14" s="26">
        <v>1</v>
      </c>
      <c r="AF14" s="30"/>
      <c r="AG14" s="4"/>
      <c r="AH14" s="26"/>
      <c r="AI14" s="26"/>
      <c r="AJ14" s="26"/>
      <c r="AK14" s="30">
        <v>1</v>
      </c>
      <c r="AL14" s="4"/>
      <c r="AM14" s="26"/>
      <c r="AN14" s="26"/>
      <c r="AO14" s="30"/>
      <c r="AP14" s="4"/>
      <c r="AQ14" s="26"/>
      <c r="AR14" s="26">
        <v>1</v>
      </c>
      <c r="AS14" s="30"/>
      <c r="AT14" s="4"/>
      <c r="AU14" s="26"/>
      <c r="AV14" s="26"/>
      <c r="AW14" s="30"/>
      <c r="AX14" s="4">
        <v>1</v>
      </c>
      <c r="AY14" s="26"/>
      <c r="AZ14" s="26"/>
      <c r="BA14" s="30"/>
      <c r="BB14" s="26"/>
      <c r="BC14" s="26"/>
      <c r="BD14" s="26"/>
      <c r="BE14" s="6"/>
      <c r="BG14" s="1">
        <f t="shared" si="0"/>
        <v>8</v>
      </c>
    </row>
    <row r="15" spans="2:59" ht="15.75" customHeight="1" x14ac:dyDescent="0.25">
      <c r="B15" s="19" t="s">
        <v>46</v>
      </c>
      <c r="C15" s="5" t="s">
        <v>211</v>
      </c>
      <c r="D15" s="18" t="s">
        <v>212</v>
      </c>
      <c r="E15" s="4"/>
      <c r="F15" s="26"/>
      <c r="G15" s="26"/>
      <c r="H15" s="30"/>
      <c r="I15" s="4"/>
      <c r="J15" s="26"/>
      <c r="K15" s="26"/>
      <c r="L15" s="30"/>
      <c r="M15" s="4"/>
      <c r="N15" s="26"/>
      <c r="O15" s="26"/>
      <c r="P15" s="30">
        <v>1</v>
      </c>
      <c r="Q15" s="4"/>
      <c r="R15" s="26"/>
      <c r="S15" s="26"/>
      <c r="T15" s="30"/>
      <c r="U15" s="4"/>
      <c r="V15" s="26"/>
      <c r="W15" s="26"/>
      <c r="X15" s="30"/>
      <c r="Y15" s="4"/>
      <c r="Z15" s="26"/>
      <c r="AA15" s="26"/>
      <c r="AB15" s="30"/>
      <c r="AC15" s="4"/>
      <c r="AD15" s="26"/>
      <c r="AE15" s="26"/>
      <c r="AF15" s="30"/>
      <c r="AG15" s="4"/>
      <c r="AH15" s="26"/>
      <c r="AI15" s="26"/>
      <c r="AJ15" s="26"/>
      <c r="AK15" s="30"/>
      <c r="AL15" s="4"/>
      <c r="AM15" s="26"/>
      <c r="AN15" s="26"/>
      <c r="AO15" s="30">
        <v>1</v>
      </c>
      <c r="AP15" s="4"/>
      <c r="AQ15" s="26"/>
      <c r="AR15" s="26"/>
      <c r="AS15" s="30"/>
      <c r="AT15" s="4"/>
      <c r="AU15" s="26"/>
      <c r="AV15" s="26"/>
      <c r="AW15" s="30"/>
      <c r="AX15" s="4"/>
      <c r="AY15" s="26"/>
      <c r="AZ15" s="26"/>
      <c r="BA15" s="30"/>
      <c r="BB15" s="26"/>
      <c r="BC15" s="26"/>
      <c r="BD15" s="26"/>
      <c r="BE15" s="6"/>
      <c r="BG15" s="1">
        <f t="shared" si="0"/>
        <v>2</v>
      </c>
    </row>
    <row r="16" spans="2:59" ht="15.75" customHeight="1" x14ac:dyDescent="0.25">
      <c r="B16" s="19" t="s">
        <v>49</v>
      </c>
      <c r="C16" s="5" t="s">
        <v>213</v>
      </c>
      <c r="D16" s="18" t="s">
        <v>214</v>
      </c>
      <c r="E16" s="4"/>
      <c r="F16" s="26">
        <v>1</v>
      </c>
      <c r="G16" s="26"/>
      <c r="H16" s="30"/>
      <c r="I16" s="4"/>
      <c r="J16" s="26"/>
      <c r="K16" s="26"/>
      <c r="L16" s="30">
        <v>1</v>
      </c>
      <c r="M16" s="4"/>
      <c r="N16" s="26"/>
      <c r="O16" s="26"/>
      <c r="P16" s="30"/>
      <c r="Q16" s="4"/>
      <c r="R16" s="26">
        <v>1</v>
      </c>
      <c r="S16" s="26"/>
      <c r="T16" s="30"/>
      <c r="U16" s="4"/>
      <c r="V16" s="26"/>
      <c r="W16" s="26"/>
      <c r="X16" s="30"/>
      <c r="Y16" s="4"/>
      <c r="Z16" s="26"/>
      <c r="AA16" s="26">
        <v>1</v>
      </c>
      <c r="AB16" s="30"/>
      <c r="AC16" s="4"/>
      <c r="AD16" s="26"/>
      <c r="AE16" s="26"/>
      <c r="AF16" s="30"/>
      <c r="AG16" s="4"/>
      <c r="AH16" s="26"/>
      <c r="AI16" s="26"/>
      <c r="AJ16" s="26">
        <v>1</v>
      </c>
      <c r="AK16" s="30"/>
      <c r="AL16" s="4"/>
      <c r="AM16" s="26"/>
      <c r="AN16" s="26"/>
      <c r="AO16" s="30"/>
      <c r="AP16" s="4"/>
      <c r="AQ16" s="26">
        <v>1</v>
      </c>
      <c r="AR16" s="26"/>
      <c r="AS16" s="30"/>
      <c r="AT16" s="4"/>
      <c r="AU16" s="26"/>
      <c r="AV16" s="26"/>
      <c r="AW16" s="30">
        <v>1</v>
      </c>
      <c r="AX16" s="4"/>
      <c r="AY16" s="26"/>
      <c r="AZ16" s="26"/>
      <c r="BA16" s="30"/>
      <c r="BB16" s="26"/>
      <c r="BC16" s="26"/>
      <c r="BD16" s="26"/>
      <c r="BE16" s="6"/>
      <c r="BG16" s="1">
        <f t="shared" si="0"/>
        <v>7</v>
      </c>
    </row>
    <row r="17" spans="2:59" ht="15.75" customHeight="1" x14ac:dyDescent="0.25">
      <c r="B17" s="19" t="s">
        <v>52</v>
      </c>
      <c r="C17" s="5" t="s">
        <v>215</v>
      </c>
      <c r="D17" s="18" t="s">
        <v>216</v>
      </c>
      <c r="E17" s="4"/>
      <c r="F17" s="26"/>
      <c r="G17" s="26"/>
      <c r="H17" s="30">
        <v>1</v>
      </c>
      <c r="I17" s="4"/>
      <c r="J17" s="26"/>
      <c r="K17" s="26"/>
      <c r="L17" s="30"/>
      <c r="M17" s="4"/>
      <c r="N17" s="26"/>
      <c r="O17" s="26"/>
      <c r="P17" s="30"/>
      <c r="Q17" s="4"/>
      <c r="R17" s="26"/>
      <c r="S17" s="26"/>
      <c r="T17" s="30"/>
      <c r="U17" s="4"/>
      <c r="V17" s="26">
        <v>1</v>
      </c>
      <c r="W17" s="26"/>
      <c r="X17" s="30"/>
      <c r="Y17" s="4"/>
      <c r="Z17" s="26"/>
      <c r="AA17" s="26"/>
      <c r="AB17" s="30"/>
      <c r="AC17" s="4"/>
      <c r="AD17" s="26"/>
      <c r="AE17" s="26"/>
      <c r="AF17" s="30"/>
      <c r="AG17" s="4"/>
      <c r="AH17" s="26"/>
      <c r="AI17" s="26"/>
      <c r="AJ17" s="26"/>
      <c r="AK17" s="30"/>
      <c r="AL17" s="4"/>
      <c r="AM17" s="26"/>
      <c r="AN17" s="26"/>
      <c r="AO17" s="30"/>
      <c r="AP17" s="4"/>
      <c r="AQ17" s="26"/>
      <c r="AR17" s="26">
        <v>1</v>
      </c>
      <c r="AS17" s="30"/>
      <c r="AT17" s="4"/>
      <c r="AU17" s="26"/>
      <c r="AV17" s="26"/>
      <c r="AW17" s="30"/>
      <c r="AX17" s="4"/>
      <c r="AY17" s="26"/>
      <c r="AZ17" s="26"/>
      <c r="BA17" s="30"/>
      <c r="BB17" s="26">
        <v>1</v>
      </c>
      <c r="BC17" s="26"/>
      <c r="BD17" s="26"/>
      <c r="BE17" s="6"/>
      <c r="BG17" s="1">
        <f t="shared" si="0"/>
        <v>4</v>
      </c>
    </row>
    <row r="18" spans="2:59" ht="15.75" customHeight="1" x14ac:dyDescent="0.25">
      <c r="B18" s="19" t="s">
        <v>55</v>
      </c>
      <c r="C18" s="5" t="s">
        <v>217</v>
      </c>
      <c r="D18" s="18" t="s">
        <v>218</v>
      </c>
      <c r="E18" s="4"/>
      <c r="F18" s="26"/>
      <c r="G18" s="26"/>
      <c r="H18" s="30"/>
      <c r="I18" s="4"/>
      <c r="J18" s="26"/>
      <c r="K18" s="26">
        <v>1</v>
      </c>
      <c r="L18" s="30"/>
      <c r="M18" s="4"/>
      <c r="N18" s="26"/>
      <c r="O18" s="26"/>
      <c r="P18" s="30"/>
      <c r="Q18" s="4"/>
      <c r="R18" s="26"/>
      <c r="S18" s="26"/>
      <c r="T18" s="30"/>
      <c r="U18" s="4"/>
      <c r="V18" s="26">
        <v>1</v>
      </c>
      <c r="W18" s="26"/>
      <c r="X18" s="30"/>
      <c r="Y18" s="4"/>
      <c r="Z18" s="26"/>
      <c r="AA18" s="26"/>
      <c r="AB18" s="30"/>
      <c r="AC18" s="4"/>
      <c r="AD18" s="26"/>
      <c r="AE18" s="26"/>
      <c r="AF18" s="30"/>
      <c r="AG18" s="4"/>
      <c r="AH18" s="26"/>
      <c r="AI18" s="26">
        <v>1</v>
      </c>
      <c r="AJ18" s="26"/>
      <c r="AK18" s="30"/>
      <c r="AL18" s="4"/>
      <c r="AM18" s="26" t="s">
        <v>219</v>
      </c>
      <c r="AN18" s="26"/>
      <c r="AO18" s="30"/>
      <c r="AP18" s="4"/>
      <c r="AQ18" s="26"/>
      <c r="AR18" s="26"/>
      <c r="AS18" s="30"/>
      <c r="AT18" s="4">
        <v>1</v>
      </c>
      <c r="AU18" s="26"/>
      <c r="AV18" s="26"/>
      <c r="AW18" s="30"/>
      <c r="AX18" s="4"/>
      <c r="AY18" s="26"/>
      <c r="AZ18" s="26"/>
      <c r="BA18" s="30"/>
      <c r="BB18" s="26"/>
      <c r="BC18" s="26"/>
      <c r="BD18" s="26">
        <v>1</v>
      </c>
      <c r="BE18" s="6"/>
      <c r="BG18" s="1">
        <f t="shared" si="0"/>
        <v>5</v>
      </c>
    </row>
    <row r="19" spans="2:59" ht="15.75" customHeight="1" x14ac:dyDescent="0.25">
      <c r="B19" s="19" t="s">
        <v>58</v>
      </c>
      <c r="C19" s="5" t="s">
        <v>220</v>
      </c>
      <c r="D19" s="18" t="s">
        <v>221</v>
      </c>
      <c r="E19" s="4"/>
      <c r="F19" s="26"/>
      <c r="G19" s="26"/>
      <c r="H19" s="30">
        <v>1</v>
      </c>
      <c r="I19" s="4"/>
      <c r="J19" s="26"/>
      <c r="K19" s="26"/>
      <c r="L19" s="30"/>
      <c r="M19" s="4"/>
      <c r="N19" s="26">
        <v>1</v>
      </c>
      <c r="O19" s="26"/>
      <c r="P19" s="30"/>
      <c r="Q19" s="4"/>
      <c r="R19" s="26"/>
      <c r="S19" s="26"/>
      <c r="T19" s="30"/>
      <c r="U19" s="4"/>
      <c r="V19" s="26"/>
      <c r="W19" s="26"/>
      <c r="X19" s="30"/>
      <c r="Y19" s="4"/>
      <c r="Z19" s="26"/>
      <c r="AA19" s="26"/>
      <c r="AB19" s="30"/>
      <c r="AC19" s="4"/>
      <c r="AD19" s="26"/>
      <c r="AE19" s="26">
        <v>1</v>
      </c>
      <c r="AF19" s="30"/>
      <c r="AG19" s="4"/>
      <c r="AH19" s="26"/>
      <c r="AI19" s="26"/>
      <c r="AJ19" s="26"/>
      <c r="AK19" s="30"/>
      <c r="AL19" s="4"/>
      <c r="AM19" s="26"/>
      <c r="AN19" s="26"/>
      <c r="AO19" s="30"/>
      <c r="AP19" s="4"/>
      <c r="AQ19" s="26"/>
      <c r="AR19" s="26"/>
      <c r="AS19" s="30"/>
      <c r="AT19" s="4"/>
      <c r="AU19" s="26"/>
      <c r="AV19" s="26"/>
      <c r="AW19" s="30">
        <v>1</v>
      </c>
      <c r="AX19" s="4"/>
      <c r="AY19" s="26"/>
      <c r="AZ19" s="26"/>
      <c r="BA19" s="30">
        <v>1</v>
      </c>
      <c r="BB19" s="26"/>
      <c r="BC19" s="26"/>
      <c r="BD19" s="26"/>
      <c r="BE19" s="6"/>
      <c r="BG19" s="1">
        <f t="shared" si="0"/>
        <v>5</v>
      </c>
    </row>
    <row r="20" spans="2:59" ht="15.75" customHeight="1" x14ac:dyDescent="0.25">
      <c r="B20" s="19" t="s">
        <v>61</v>
      </c>
      <c r="C20" s="5" t="s">
        <v>222</v>
      </c>
      <c r="D20" s="18" t="s">
        <v>223</v>
      </c>
      <c r="E20" s="4"/>
      <c r="F20" s="26"/>
      <c r="G20" s="26"/>
      <c r="H20" s="30"/>
      <c r="I20" s="4"/>
      <c r="J20" s="26"/>
      <c r="K20" s="26"/>
      <c r="L20" s="30"/>
      <c r="M20" s="4"/>
      <c r="N20" s="26"/>
      <c r="O20" s="26"/>
      <c r="P20" s="30"/>
      <c r="Q20" s="4"/>
      <c r="R20" s="26"/>
      <c r="S20" s="26">
        <v>1</v>
      </c>
      <c r="T20" s="30"/>
      <c r="U20" s="4"/>
      <c r="V20" s="26"/>
      <c r="W20" s="26"/>
      <c r="X20" s="30"/>
      <c r="Y20" s="4"/>
      <c r="Z20" s="26"/>
      <c r="AA20" s="26"/>
      <c r="AB20" s="30"/>
      <c r="AC20" s="4"/>
      <c r="AD20" s="26"/>
      <c r="AE20" s="26"/>
      <c r="AF20" s="30"/>
      <c r="AG20" s="4"/>
      <c r="AH20" s="26"/>
      <c r="AI20" s="26"/>
      <c r="AJ20" s="26"/>
      <c r="AK20" s="30"/>
      <c r="AL20" s="4"/>
      <c r="AM20" s="26"/>
      <c r="AN20" s="26"/>
      <c r="AO20" s="30"/>
      <c r="AP20" s="4"/>
      <c r="AQ20" s="26">
        <v>1</v>
      </c>
      <c r="AR20" s="26"/>
      <c r="AS20" s="30"/>
      <c r="AT20" s="4"/>
      <c r="AU20" s="26"/>
      <c r="AV20" s="26"/>
      <c r="AW20" s="30"/>
      <c r="AX20" s="4"/>
      <c r="AY20" s="26"/>
      <c r="AZ20" s="26"/>
      <c r="BA20" s="30"/>
      <c r="BB20" s="26"/>
      <c r="BC20" s="26"/>
      <c r="BD20" s="26"/>
      <c r="BE20" s="6"/>
      <c r="BG20" s="1">
        <f t="shared" si="0"/>
        <v>2</v>
      </c>
    </row>
    <row r="21" spans="2:59" ht="15.75" customHeight="1" x14ac:dyDescent="0.25">
      <c r="B21" s="19" t="s">
        <v>64</v>
      </c>
      <c r="C21" s="5" t="s">
        <v>224</v>
      </c>
      <c r="D21" s="18" t="s">
        <v>225</v>
      </c>
      <c r="E21" s="4"/>
      <c r="F21" s="26"/>
      <c r="G21" s="26"/>
      <c r="H21" s="30"/>
      <c r="I21" s="4"/>
      <c r="J21" s="26"/>
      <c r="K21" s="26"/>
      <c r="L21" s="30"/>
      <c r="M21" s="4"/>
      <c r="N21" s="26"/>
      <c r="O21" s="26"/>
      <c r="P21" s="30"/>
      <c r="Q21" s="4"/>
      <c r="R21" s="26"/>
      <c r="S21" s="26"/>
      <c r="T21" s="30"/>
      <c r="U21" s="4"/>
      <c r="V21" s="26">
        <v>1</v>
      </c>
      <c r="W21" s="26"/>
      <c r="X21" s="30"/>
      <c r="Y21" s="4"/>
      <c r="Z21" s="26"/>
      <c r="AA21" s="26"/>
      <c r="AB21" s="30"/>
      <c r="AC21" s="4"/>
      <c r="AD21" s="26"/>
      <c r="AE21" s="26"/>
      <c r="AF21" s="30"/>
      <c r="AG21" s="4"/>
      <c r="AH21" s="26"/>
      <c r="AI21" s="26"/>
      <c r="AJ21" s="26"/>
      <c r="AK21" s="30"/>
      <c r="AL21" s="4"/>
      <c r="AM21" s="26"/>
      <c r="AN21" s="26"/>
      <c r="AO21" s="30"/>
      <c r="AP21" s="4"/>
      <c r="AQ21" s="26"/>
      <c r="AR21" s="26"/>
      <c r="AS21" s="30"/>
      <c r="AT21" s="4">
        <v>1</v>
      </c>
      <c r="AU21" s="26"/>
      <c r="AV21" s="26"/>
      <c r="AW21" s="30"/>
      <c r="AX21" s="4"/>
      <c r="AY21" s="26"/>
      <c r="AZ21" s="26"/>
      <c r="BA21" s="30"/>
      <c r="BB21" s="26"/>
      <c r="BC21" s="26">
        <v>1</v>
      </c>
      <c r="BD21" s="26"/>
      <c r="BE21" s="6"/>
      <c r="BG21" s="1">
        <f t="shared" si="0"/>
        <v>3</v>
      </c>
    </row>
    <row r="22" spans="2:59" ht="15.75" customHeight="1" x14ac:dyDescent="0.25">
      <c r="B22" s="19" t="s">
        <v>67</v>
      </c>
      <c r="C22" s="5" t="s">
        <v>226</v>
      </c>
      <c r="D22" s="18" t="s">
        <v>227</v>
      </c>
      <c r="E22" s="4"/>
      <c r="F22" s="26"/>
      <c r="G22" s="26"/>
      <c r="H22" s="30"/>
      <c r="I22" s="4"/>
      <c r="J22" s="26"/>
      <c r="K22" s="26"/>
      <c r="L22" s="30"/>
      <c r="M22" s="4"/>
      <c r="N22" s="26"/>
      <c r="O22" s="26"/>
      <c r="P22" s="30"/>
      <c r="Q22" s="4"/>
      <c r="R22" s="26"/>
      <c r="S22" s="26"/>
      <c r="T22" s="30"/>
      <c r="U22" s="4"/>
      <c r="V22" s="26"/>
      <c r="W22" s="26"/>
      <c r="X22" s="30"/>
      <c r="Y22" s="4"/>
      <c r="Z22" s="26"/>
      <c r="AA22" s="26"/>
      <c r="AB22" s="30">
        <v>1</v>
      </c>
      <c r="AC22" s="4"/>
      <c r="AD22" s="26"/>
      <c r="AE22" s="26"/>
      <c r="AF22" s="30"/>
      <c r="AG22" s="4"/>
      <c r="AH22" s="26"/>
      <c r="AI22" s="26"/>
      <c r="AJ22" s="26"/>
      <c r="AK22" s="30"/>
      <c r="AL22" s="4"/>
      <c r="AM22" s="26"/>
      <c r="AN22" s="26"/>
      <c r="AO22" s="30"/>
      <c r="AP22" s="4"/>
      <c r="AQ22" s="26"/>
      <c r="AR22" s="26"/>
      <c r="AS22" s="30"/>
      <c r="AT22" s="4"/>
      <c r="AU22" s="26"/>
      <c r="AV22" s="26"/>
      <c r="AW22" s="30"/>
      <c r="AX22" s="4"/>
      <c r="AY22" s="26"/>
      <c r="AZ22" s="26"/>
      <c r="BA22" s="30">
        <v>1</v>
      </c>
      <c r="BB22" s="26"/>
      <c r="BC22" s="26"/>
      <c r="BD22" s="26"/>
      <c r="BE22" s="6"/>
      <c r="BG22" s="1">
        <f t="shared" si="0"/>
        <v>2</v>
      </c>
    </row>
    <row r="23" spans="2:59" ht="15.75" customHeight="1" x14ac:dyDescent="0.25">
      <c r="B23" s="19" t="s">
        <v>70</v>
      </c>
      <c r="C23" s="5" t="s">
        <v>228</v>
      </c>
      <c r="D23" s="18" t="s">
        <v>229</v>
      </c>
      <c r="E23" s="4"/>
      <c r="F23" s="26"/>
      <c r="G23" s="26"/>
      <c r="H23" s="30">
        <v>1</v>
      </c>
      <c r="I23" s="4"/>
      <c r="J23" s="26"/>
      <c r="K23" s="26"/>
      <c r="L23" s="30"/>
      <c r="M23" s="4"/>
      <c r="N23" s="26"/>
      <c r="O23" s="26"/>
      <c r="P23" s="30"/>
      <c r="Q23" s="4"/>
      <c r="R23" s="26"/>
      <c r="S23" s="26">
        <v>1</v>
      </c>
      <c r="T23" s="30"/>
      <c r="U23" s="4"/>
      <c r="V23" s="26"/>
      <c r="W23" s="26"/>
      <c r="X23" s="30"/>
      <c r="Y23" s="4"/>
      <c r="Z23" s="26"/>
      <c r="AA23" s="26"/>
      <c r="AB23" s="30"/>
      <c r="AC23" s="4"/>
      <c r="AD23" s="26"/>
      <c r="AE23" s="26">
        <v>1</v>
      </c>
      <c r="AF23" s="30"/>
      <c r="AG23" s="4"/>
      <c r="AH23" s="26"/>
      <c r="AI23" s="26"/>
      <c r="AJ23" s="26"/>
      <c r="AK23" s="30"/>
      <c r="AL23" s="4"/>
      <c r="AM23" s="26"/>
      <c r="AN23" s="26"/>
      <c r="AO23" s="30"/>
      <c r="AP23" s="4"/>
      <c r="AQ23" s="26"/>
      <c r="AR23" s="26"/>
      <c r="AS23" s="30">
        <v>1</v>
      </c>
      <c r="AT23" s="4"/>
      <c r="AU23" s="26"/>
      <c r="AV23" s="26"/>
      <c r="AW23" s="30"/>
      <c r="AX23" s="4"/>
      <c r="AY23" s="26"/>
      <c r="AZ23" s="26"/>
      <c r="BA23" s="30"/>
      <c r="BB23" s="26"/>
      <c r="BC23" s="26"/>
      <c r="BD23" s="26"/>
      <c r="BE23" s="6"/>
      <c r="BG23" s="1">
        <f t="shared" si="0"/>
        <v>4</v>
      </c>
    </row>
    <row r="24" spans="2:59" ht="15.75" customHeight="1" x14ac:dyDescent="0.25">
      <c r="B24" s="19" t="s">
        <v>73</v>
      </c>
      <c r="C24" s="5" t="s">
        <v>230</v>
      </c>
      <c r="D24" s="18" t="s">
        <v>231</v>
      </c>
      <c r="E24" s="4"/>
      <c r="F24" s="26"/>
      <c r="G24" s="26">
        <v>1</v>
      </c>
      <c r="H24" s="30"/>
      <c r="I24" s="4"/>
      <c r="J24" s="26"/>
      <c r="K24" s="26"/>
      <c r="L24" s="30"/>
      <c r="M24" s="4"/>
      <c r="N24" s="26">
        <v>1</v>
      </c>
      <c r="O24" s="26"/>
      <c r="P24" s="30"/>
      <c r="Q24" s="4"/>
      <c r="R24" s="26"/>
      <c r="S24" s="26"/>
      <c r="T24" s="30"/>
      <c r="U24" s="4"/>
      <c r="V24" s="26">
        <v>1</v>
      </c>
      <c r="W24" s="26"/>
      <c r="X24" s="30"/>
      <c r="Y24" s="4"/>
      <c r="Z24" s="26"/>
      <c r="AA24" s="26"/>
      <c r="AB24" s="30"/>
      <c r="AC24" s="4"/>
      <c r="AD24" s="26"/>
      <c r="AE24" s="26">
        <v>1</v>
      </c>
      <c r="AF24" s="30"/>
      <c r="AG24" s="4"/>
      <c r="AH24" s="26"/>
      <c r="AI24" s="26"/>
      <c r="AJ24" s="26"/>
      <c r="AK24" s="30"/>
      <c r="AL24" s="4"/>
      <c r="AM24" s="26"/>
      <c r="AN24" s="26"/>
      <c r="AO24" s="30"/>
      <c r="AP24" s="4"/>
      <c r="AQ24" s="26"/>
      <c r="AR24" s="26"/>
      <c r="AS24" s="30"/>
      <c r="AT24" s="4"/>
      <c r="AU24" s="26"/>
      <c r="AV24" s="26">
        <v>1</v>
      </c>
      <c r="AW24" s="30"/>
      <c r="AX24" s="4"/>
      <c r="AY24" s="26"/>
      <c r="AZ24" s="26">
        <v>1</v>
      </c>
      <c r="BA24" s="30"/>
      <c r="BB24" s="26"/>
      <c r="BC24" s="26"/>
      <c r="BD24" s="26">
        <v>1</v>
      </c>
      <c r="BE24" s="6"/>
      <c r="BG24" s="1">
        <f t="shared" si="0"/>
        <v>7</v>
      </c>
    </row>
    <row r="25" spans="2:59" ht="15.75" customHeight="1" x14ac:dyDescent="0.25">
      <c r="B25" s="19" t="s">
        <v>76</v>
      </c>
      <c r="C25" s="5" t="s">
        <v>232</v>
      </c>
      <c r="D25" s="18" t="s">
        <v>233</v>
      </c>
      <c r="E25" s="4"/>
      <c r="F25" s="26"/>
      <c r="G25" s="26"/>
      <c r="H25" s="30"/>
      <c r="I25" s="4"/>
      <c r="J25" s="26"/>
      <c r="K25" s="26"/>
      <c r="L25" s="30"/>
      <c r="M25" s="4"/>
      <c r="N25" s="26"/>
      <c r="O25" s="26">
        <v>1</v>
      </c>
      <c r="P25" s="30"/>
      <c r="Q25" s="4"/>
      <c r="R25" s="26"/>
      <c r="S25" s="26"/>
      <c r="T25" s="30"/>
      <c r="U25" s="4"/>
      <c r="V25" s="26"/>
      <c r="W25" s="26"/>
      <c r="X25" s="30"/>
      <c r="Y25" s="4"/>
      <c r="Z25" s="26"/>
      <c r="AA25" s="26">
        <v>1</v>
      </c>
      <c r="AB25" s="30"/>
      <c r="AC25" s="4"/>
      <c r="AD25" s="26"/>
      <c r="AE25" s="26"/>
      <c r="AF25" s="30"/>
      <c r="AG25" s="4"/>
      <c r="AH25" s="26"/>
      <c r="AI25" s="26"/>
      <c r="AJ25" s="26"/>
      <c r="AK25" s="30"/>
      <c r="AL25" s="4"/>
      <c r="AM25" s="26"/>
      <c r="AN25" s="26"/>
      <c r="AO25" s="30">
        <v>1</v>
      </c>
      <c r="AP25" s="4"/>
      <c r="AQ25" s="26"/>
      <c r="AR25" s="26"/>
      <c r="AS25" s="30"/>
      <c r="AT25" s="4"/>
      <c r="AU25" s="26"/>
      <c r="AV25" s="26"/>
      <c r="AW25" s="30"/>
      <c r="AX25" s="4"/>
      <c r="AY25" s="26">
        <v>1</v>
      </c>
      <c r="AZ25" s="26"/>
      <c r="BA25" s="30"/>
      <c r="BB25" s="26"/>
      <c r="BC25" s="26"/>
      <c r="BD25" s="26"/>
      <c r="BE25" s="6"/>
      <c r="BG25" s="1">
        <f t="shared" si="0"/>
        <v>4</v>
      </c>
    </row>
    <row r="26" spans="2:59" ht="15.75" customHeight="1" x14ac:dyDescent="0.25">
      <c r="B26" s="19" t="s">
        <v>79</v>
      </c>
      <c r="C26" s="5" t="s">
        <v>234</v>
      </c>
      <c r="D26" s="18" t="s">
        <v>235</v>
      </c>
      <c r="E26" s="4"/>
      <c r="F26" s="26"/>
      <c r="G26" s="26">
        <v>1</v>
      </c>
      <c r="H26" s="30"/>
      <c r="I26" s="4"/>
      <c r="J26" s="26"/>
      <c r="K26" s="26"/>
      <c r="L26" s="30"/>
      <c r="M26" s="4"/>
      <c r="N26" s="26"/>
      <c r="O26" s="26"/>
      <c r="P26" s="30"/>
      <c r="Q26" s="4"/>
      <c r="R26" s="26">
        <v>1</v>
      </c>
      <c r="S26" s="26"/>
      <c r="T26" s="30"/>
      <c r="U26" s="4"/>
      <c r="V26" s="26"/>
      <c r="W26" s="26"/>
      <c r="X26" s="30"/>
      <c r="Y26" s="4"/>
      <c r="Z26" s="26"/>
      <c r="AA26" s="26"/>
      <c r="AB26" s="30"/>
      <c r="AC26" s="4"/>
      <c r="AD26" s="26"/>
      <c r="AE26" s="26"/>
      <c r="AF26" s="30">
        <v>1</v>
      </c>
      <c r="AG26" s="4"/>
      <c r="AH26" s="26"/>
      <c r="AI26" s="26"/>
      <c r="AJ26" s="26"/>
      <c r="AK26" s="30"/>
      <c r="AL26" s="4"/>
      <c r="AM26" s="26"/>
      <c r="AN26" s="26"/>
      <c r="AO26" s="30"/>
      <c r="AP26" s="4"/>
      <c r="AQ26" s="26"/>
      <c r="AR26" s="26">
        <v>1</v>
      </c>
      <c r="AS26" s="30"/>
      <c r="AT26" s="4"/>
      <c r="AU26" s="26"/>
      <c r="AV26" s="26"/>
      <c r="AW26" s="30"/>
      <c r="AX26" s="4"/>
      <c r="AY26" s="26"/>
      <c r="AZ26" s="26"/>
      <c r="BA26" s="30"/>
      <c r="BB26" s="26"/>
      <c r="BC26" s="26"/>
      <c r="BD26" s="26"/>
      <c r="BE26" s="6"/>
      <c r="BG26" s="1">
        <f t="shared" si="0"/>
        <v>4</v>
      </c>
    </row>
    <row r="27" spans="2:59" ht="15.75" customHeight="1" x14ac:dyDescent="0.25">
      <c r="B27" s="19" t="s">
        <v>82</v>
      </c>
      <c r="C27" s="5" t="s">
        <v>236</v>
      </c>
      <c r="D27" s="18" t="s">
        <v>84</v>
      </c>
      <c r="E27" s="4"/>
      <c r="F27" s="26"/>
      <c r="G27" s="26">
        <v>1</v>
      </c>
      <c r="H27" s="30"/>
      <c r="I27" s="4"/>
      <c r="J27" s="26"/>
      <c r="K27" s="26"/>
      <c r="L27" s="30"/>
      <c r="M27" s="4"/>
      <c r="N27" s="26"/>
      <c r="O27" s="26"/>
      <c r="P27" s="30"/>
      <c r="Q27" s="4"/>
      <c r="R27" s="26"/>
      <c r="S27" s="26"/>
      <c r="T27" s="30"/>
      <c r="U27" s="4"/>
      <c r="V27" s="26"/>
      <c r="W27" s="26"/>
      <c r="X27" s="30"/>
      <c r="Y27" s="4"/>
      <c r="Z27" s="26"/>
      <c r="AA27" s="26"/>
      <c r="AB27" s="30"/>
      <c r="AC27" s="4"/>
      <c r="AD27" s="26"/>
      <c r="AE27" s="26"/>
      <c r="AF27" s="30">
        <v>1</v>
      </c>
      <c r="AG27" s="4"/>
      <c r="AH27" s="26"/>
      <c r="AI27" s="26"/>
      <c r="AJ27" s="26"/>
      <c r="AK27" s="30"/>
      <c r="AL27" s="4"/>
      <c r="AM27" s="26"/>
      <c r="AN27" s="26"/>
      <c r="AO27" s="30"/>
      <c r="AP27" s="4"/>
      <c r="AQ27" s="26"/>
      <c r="AR27" s="26"/>
      <c r="AS27" s="30"/>
      <c r="AT27" s="4"/>
      <c r="AU27" s="26"/>
      <c r="AV27" s="26"/>
      <c r="AW27" s="30"/>
      <c r="AX27" s="4"/>
      <c r="AY27" s="26"/>
      <c r="AZ27" s="26"/>
      <c r="BA27" s="30"/>
      <c r="BB27" s="26"/>
      <c r="BC27" s="26"/>
      <c r="BD27" s="26"/>
      <c r="BE27" s="6"/>
      <c r="BG27" s="1">
        <f t="shared" si="0"/>
        <v>2</v>
      </c>
    </row>
    <row r="28" spans="2:59" ht="15.75" customHeight="1" x14ac:dyDescent="0.25">
      <c r="B28" s="19" t="s">
        <v>85</v>
      </c>
      <c r="C28" s="5" t="s">
        <v>237</v>
      </c>
      <c r="D28" s="18" t="s">
        <v>238</v>
      </c>
      <c r="E28" s="4"/>
      <c r="F28" s="26"/>
      <c r="G28" s="26"/>
      <c r="H28" s="30"/>
      <c r="I28" s="4"/>
      <c r="J28" s="26"/>
      <c r="K28" s="26">
        <v>1</v>
      </c>
      <c r="L28" s="30"/>
      <c r="M28" s="4"/>
      <c r="N28" s="26"/>
      <c r="O28" s="26"/>
      <c r="P28" s="30"/>
      <c r="Q28" s="4"/>
      <c r="R28" s="26"/>
      <c r="S28" s="26"/>
      <c r="T28" s="30"/>
      <c r="U28" s="4"/>
      <c r="V28" s="26"/>
      <c r="W28" s="26"/>
      <c r="X28" s="30"/>
      <c r="Y28" s="4"/>
      <c r="Z28" s="26"/>
      <c r="AA28" s="26"/>
      <c r="AB28" s="30"/>
      <c r="AC28" s="4"/>
      <c r="AD28" s="26"/>
      <c r="AE28" s="26"/>
      <c r="AF28" s="30"/>
      <c r="AG28" s="4"/>
      <c r="AH28" s="26"/>
      <c r="AI28" s="26"/>
      <c r="AJ28" s="26">
        <v>1</v>
      </c>
      <c r="AK28" s="30"/>
      <c r="AL28" s="4"/>
      <c r="AM28" s="26"/>
      <c r="AN28" s="26"/>
      <c r="AO28" s="30"/>
      <c r="AP28" s="4"/>
      <c r="AQ28" s="26"/>
      <c r="AR28" s="26"/>
      <c r="AS28" s="30"/>
      <c r="AT28" s="4"/>
      <c r="AU28" s="26"/>
      <c r="AV28" s="26"/>
      <c r="AW28" s="30"/>
      <c r="AX28" s="4"/>
      <c r="AY28" s="26"/>
      <c r="AZ28" s="26"/>
      <c r="BA28" s="30"/>
      <c r="BB28" s="26"/>
      <c r="BC28" s="26"/>
      <c r="BD28" s="26"/>
      <c r="BE28" s="6"/>
      <c r="BG28" s="1">
        <f t="shared" si="0"/>
        <v>2</v>
      </c>
    </row>
    <row r="29" spans="2:59" ht="15.75" customHeight="1" x14ac:dyDescent="0.25">
      <c r="B29" s="19" t="s">
        <v>88</v>
      </c>
      <c r="C29" s="5" t="s">
        <v>239</v>
      </c>
      <c r="D29" s="18" t="s">
        <v>90</v>
      </c>
      <c r="E29" s="4"/>
      <c r="F29" s="26"/>
      <c r="G29" s="26"/>
      <c r="H29" s="30"/>
      <c r="I29" s="4"/>
      <c r="J29" s="26"/>
      <c r="K29" s="26"/>
      <c r="L29" s="30"/>
      <c r="M29" s="4"/>
      <c r="N29" s="26">
        <v>1</v>
      </c>
      <c r="O29" s="26"/>
      <c r="P29" s="30"/>
      <c r="Q29" s="4"/>
      <c r="R29" s="26"/>
      <c r="S29" s="26"/>
      <c r="T29" s="30"/>
      <c r="U29" s="4"/>
      <c r="V29" s="26"/>
      <c r="W29" s="26"/>
      <c r="X29" s="30"/>
      <c r="Y29" s="4"/>
      <c r="Z29" s="26"/>
      <c r="AA29" s="26"/>
      <c r="AB29" s="30"/>
      <c r="AC29" s="4"/>
      <c r="AD29" s="26"/>
      <c r="AE29" s="26"/>
      <c r="AF29" s="30"/>
      <c r="AG29" s="4"/>
      <c r="AH29" s="26"/>
      <c r="AI29" s="26"/>
      <c r="AJ29" s="26"/>
      <c r="AK29" s="30"/>
      <c r="AL29" s="4"/>
      <c r="AM29" s="26"/>
      <c r="AN29" s="26"/>
      <c r="AO29" s="30">
        <v>1</v>
      </c>
      <c r="AP29" s="4"/>
      <c r="AQ29" s="26"/>
      <c r="AR29" s="26"/>
      <c r="AS29" s="30"/>
      <c r="AT29" s="4"/>
      <c r="AU29" s="26"/>
      <c r="AV29" s="26"/>
      <c r="AW29" s="30"/>
      <c r="AX29" s="4"/>
      <c r="AY29" s="26"/>
      <c r="AZ29" s="26"/>
      <c r="BA29" s="30"/>
      <c r="BB29" s="26"/>
      <c r="BC29" s="26"/>
      <c r="BD29" s="26"/>
      <c r="BE29" s="6"/>
      <c r="BG29" s="1">
        <f t="shared" si="0"/>
        <v>2</v>
      </c>
    </row>
    <row r="30" spans="2:59" ht="15.75" customHeight="1" x14ac:dyDescent="0.25">
      <c r="B30" s="19" t="s">
        <v>91</v>
      </c>
      <c r="C30" s="5" t="s">
        <v>240</v>
      </c>
      <c r="D30" s="18" t="s">
        <v>93</v>
      </c>
      <c r="E30" s="4"/>
      <c r="F30" s="26"/>
      <c r="G30" s="26"/>
      <c r="H30" s="30"/>
      <c r="I30" s="4"/>
      <c r="J30" s="26"/>
      <c r="K30" s="26"/>
      <c r="L30" s="30"/>
      <c r="M30" s="4"/>
      <c r="N30" s="26"/>
      <c r="O30" s="26"/>
      <c r="P30" s="30"/>
      <c r="Q30" s="4"/>
      <c r="R30" s="26"/>
      <c r="S30" s="26"/>
      <c r="T30" s="30">
        <v>1</v>
      </c>
      <c r="U30" s="4"/>
      <c r="V30" s="26"/>
      <c r="W30" s="26"/>
      <c r="X30" s="30"/>
      <c r="Y30" s="4"/>
      <c r="Z30" s="26"/>
      <c r="AA30" s="26"/>
      <c r="AB30" s="30"/>
      <c r="AC30" s="4"/>
      <c r="AD30" s="26"/>
      <c r="AE30" s="26"/>
      <c r="AF30" s="30"/>
      <c r="AG30" s="4"/>
      <c r="AH30" s="26"/>
      <c r="AI30" s="26"/>
      <c r="AJ30" s="26"/>
      <c r="AK30" s="30"/>
      <c r="AL30" s="4"/>
      <c r="AM30" s="26"/>
      <c r="AN30" s="26"/>
      <c r="AO30" s="30"/>
      <c r="AP30" s="4"/>
      <c r="AQ30" s="26"/>
      <c r="AR30" s="26"/>
      <c r="AS30" s="30">
        <v>1</v>
      </c>
      <c r="AT30" s="4"/>
      <c r="AU30" s="26"/>
      <c r="AV30" s="26"/>
      <c r="AW30" s="30"/>
      <c r="AX30" s="4"/>
      <c r="AY30" s="26"/>
      <c r="AZ30" s="26"/>
      <c r="BA30" s="30"/>
      <c r="BB30" s="26"/>
      <c r="BC30" s="26"/>
      <c r="BD30" s="26"/>
      <c r="BE30" s="6"/>
      <c r="BG30" s="1">
        <f t="shared" si="0"/>
        <v>2</v>
      </c>
    </row>
    <row r="31" spans="2:59" ht="15.75" customHeight="1" x14ac:dyDescent="0.25">
      <c r="B31" s="19" t="s">
        <v>94</v>
      </c>
      <c r="C31" s="5" t="s">
        <v>241</v>
      </c>
      <c r="D31" s="18" t="s">
        <v>242</v>
      </c>
      <c r="E31" s="4"/>
      <c r="F31" s="26"/>
      <c r="G31" s="26"/>
      <c r="H31" s="30"/>
      <c r="I31" s="4"/>
      <c r="J31" s="26"/>
      <c r="K31" s="26"/>
      <c r="L31" s="30"/>
      <c r="M31" s="4"/>
      <c r="N31" s="26"/>
      <c r="O31" s="26"/>
      <c r="P31" s="30"/>
      <c r="Q31" s="4"/>
      <c r="R31" s="26"/>
      <c r="S31" s="26"/>
      <c r="T31" s="30"/>
      <c r="U31" s="4"/>
      <c r="V31" s="26"/>
      <c r="W31" s="26"/>
      <c r="X31" s="30">
        <v>1</v>
      </c>
      <c r="Y31" s="4"/>
      <c r="Z31" s="26"/>
      <c r="AA31" s="26"/>
      <c r="AB31" s="30"/>
      <c r="AC31" s="4"/>
      <c r="AD31" s="26"/>
      <c r="AE31" s="26"/>
      <c r="AF31" s="30"/>
      <c r="AG31" s="4"/>
      <c r="AH31" s="26"/>
      <c r="AI31" s="26"/>
      <c r="AJ31" s="26"/>
      <c r="AK31" s="30"/>
      <c r="AL31" s="4"/>
      <c r="AM31" s="26"/>
      <c r="AN31" s="26"/>
      <c r="AO31" s="30"/>
      <c r="AP31" s="4"/>
      <c r="AQ31" s="26"/>
      <c r="AR31" s="26"/>
      <c r="AS31" s="30"/>
      <c r="AT31" s="4"/>
      <c r="AU31" s="26"/>
      <c r="AV31" s="26">
        <v>1</v>
      </c>
      <c r="AW31" s="30"/>
      <c r="AX31" s="4"/>
      <c r="AY31" s="26"/>
      <c r="AZ31" s="26"/>
      <c r="BA31" s="30"/>
      <c r="BB31" s="26"/>
      <c r="BC31" s="26">
        <v>1</v>
      </c>
      <c r="BD31" s="26"/>
      <c r="BE31" s="6"/>
      <c r="BG31" s="1">
        <f t="shared" si="0"/>
        <v>3</v>
      </c>
    </row>
    <row r="32" spans="2:59" ht="15.75" customHeight="1" x14ac:dyDescent="0.25">
      <c r="B32" s="17" t="s">
        <v>97</v>
      </c>
      <c r="C32" s="5" t="s">
        <v>243</v>
      </c>
      <c r="D32" s="18" t="s">
        <v>99</v>
      </c>
      <c r="E32" s="4"/>
      <c r="F32" s="26">
        <v>1</v>
      </c>
      <c r="G32" s="26"/>
      <c r="H32" s="30"/>
      <c r="I32" s="4"/>
      <c r="J32" s="26"/>
      <c r="K32" s="26"/>
      <c r="L32" s="30">
        <v>1</v>
      </c>
      <c r="M32" s="4"/>
      <c r="N32" s="26"/>
      <c r="O32" s="26"/>
      <c r="P32" s="30"/>
      <c r="Q32" s="4"/>
      <c r="R32" s="26">
        <v>1</v>
      </c>
      <c r="S32" s="26"/>
      <c r="T32" s="30"/>
      <c r="U32" s="4"/>
      <c r="V32" s="26"/>
      <c r="W32" s="26"/>
      <c r="X32" s="30"/>
      <c r="Y32" s="4"/>
      <c r="Z32" s="26"/>
      <c r="AA32" s="26"/>
      <c r="AB32" s="30"/>
      <c r="AC32" s="4"/>
      <c r="AD32" s="26"/>
      <c r="AE32" s="26">
        <v>1</v>
      </c>
      <c r="AF32" s="30"/>
      <c r="AG32" s="4"/>
      <c r="AH32" s="26"/>
      <c r="AI32" s="26"/>
      <c r="AJ32" s="26"/>
      <c r="AK32" s="30"/>
      <c r="AL32" s="4"/>
      <c r="AM32" s="26"/>
      <c r="AN32" s="26"/>
      <c r="AO32" s="30"/>
      <c r="AP32" s="4"/>
      <c r="AQ32" s="26"/>
      <c r="AR32" s="26"/>
      <c r="AS32" s="30">
        <v>1</v>
      </c>
      <c r="AT32" s="4"/>
      <c r="AU32" s="26"/>
      <c r="AV32" s="26"/>
      <c r="AW32" s="30"/>
      <c r="AX32" s="4">
        <v>1</v>
      </c>
      <c r="AY32" s="26"/>
      <c r="AZ32" s="26"/>
      <c r="BA32" s="30"/>
      <c r="BB32" s="26"/>
      <c r="BC32" s="26"/>
      <c r="BD32" s="26"/>
      <c r="BE32" s="6"/>
      <c r="BG32" s="1">
        <f t="shared" si="0"/>
        <v>6</v>
      </c>
    </row>
    <row r="33" spans="2:59" ht="15.75" customHeight="1" x14ac:dyDescent="0.25">
      <c r="B33" s="17" t="s">
        <v>244</v>
      </c>
      <c r="C33" s="5" t="s">
        <v>245</v>
      </c>
      <c r="D33" s="18" t="s">
        <v>246</v>
      </c>
      <c r="E33" s="4"/>
      <c r="F33" s="26"/>
      <c r="G33" s="26"/>
      <c r="H33" s="30"/>
      <c r="I33" s="4"/>
      <c r="J33" s="26"/>
      <c r="K33" s="26">
        <v>1</v>
      </c>
      <c r="L33" s="30"/>
      <c r="M33" s="4"/>
      <c r="N33" s="26"/>
      <c r="O33" s="26"/>
      <c r="P33" s="30"/>
      <c r="Q33" s="4"/>
      <c r="R33" s="26"/>
      <c r="S33" s="26"/>
      <c r="T33" s="30"/>
      <c r="U33" s="4"/>
      <c r="V33" s="26"/>
      <c r="W33" s="26"/>
      <c r="X33" s="30"/>
      <c r="Y33" s="4"/>
      <c r="Z33" s="26"/>
      <c r="AA33" s="26"/>
      <c r="AB33" s="30"/>
      <c r="AC33" s="4"/>
      <c r="AD33" s="26"/>
      <c r="AE33" s="26"/>
      <c r="AF33" s="30"/>
      <c r="AG33" s="4"/>
      <c r="AH33" s="26"/>
      <c r="AI33" s="26"/>
      <c r="AJ33" s="26">
        <v>1</v>
      </c>
      <c r="AK33" s="30"/>
      <c r="AL33" s="4"/>
      <c r="AM33" s="26"/>
      <c r="AN33" s="26"/>
      <c r="AO33" s="30"/>
      <c r="AP33" s="4"/>
      <c r="AQ33" s="26"/>
      <c r="AR33" s="26"/>
      <c r="AS33" s="30"/>
      <c r="AT33" s="4"/>
      <c r="AU33" s="26"/>
      <c r="AV33" s="26"/>
      <c r="AW33" s="30"/>
      <c r="AX33" s="4"/>
      <c r="AY33" s="26"/>
      <c r="AZ33" s="26"/>
      <c r="BA33" s="30"/>
      <c r="BB33" s="26"/>
      <c r="BC33" s="26"/>
      <c r="BD33" s="26"/>
      <c r="BE33" s="6"/>
      <c r="BG33" s="1">
        <f t="shared" si="0"/>
        <v>2</v>
      </c>
    </row>
    <row r="34" spans="2:59" ht="15.75" customHeight="1" x14ac:dyDescent="0.25">
      <c r="B34" s="19" t="s">
        <v>170</v>
      </c>
      <c r="C34" s="5" t="s">
        <v>247</v>
      </c>
      <c r="D34" s="18" t="s">
        <v>248</v>
      </c>
      <c r="E34" s="4"/>
      <c r="F34" s="26"/>
      <c r="G34" s="26"/>
      <c r="H34" s="30"/>
      <c r="I34" s="4"/>
      <c r="J34" s="26">
        <v>1</v>
      </c>
      <c r="K34" s="26"/>
      <c r="L34" s="30"/>
      <c r="M34" s="4"/>
      <c r="N34" s="26"/>
      <c r="O34" s="26"/>
      <c r="P34" s="30"/>
      <c r="Q34" s="4"/>
      <c r="R34" s="26"/>
      <c r="S34" s="26"/>
      <c r="T34" s="30"/>
      <c r="U34" s="4"/>
      <c r="V34" s="26"/>
      <c r="W34" s="26"/>
      <c r="X34" s="30"/>
      <c r="Y34" s="4"/>
      <c r="Z34" s="26"/>
      <c r="AA34" s="26"/>
      <c r="AB34" s="30"/>
      <c r="AC34" s="4"/>
      <c r="AD34" s="26"/>
      <c r="AE34" s="26"/>
      <c r="AF34" s="30"/>
      <c r="AG34" s="4"/>
      <c r="AH34" s="26"/>
      <c r="AI34" s="26"/>
      <c r="AJ34" s="26"/>
      <c r="AK34" s="30">
        <v>1</v>
      </c>
      <c r="AL34" s="4"/>
      <c r="AM34" s="26"/>
      <c r="AN34" s="26"/>
      <c r="AO34" s="30"/>
      <c r="AP34" s="4"/>
      <c r="AQ34" s="26"/>
      <c r="AR34" s="26"/>
      <c r="AS34" s="30"/>
      <c r="AT34" s="4"/>
      <c r="AU34" s="26"/>
      <c r="AV34" s="26"/>
      <c r="AW34" s="30"/>
      <c r="AX34" s="4"/>
      <c r="AY34" s="26"/>
      <c r="AZ34" s="26"/>
      <c r="BA34" s="30"/>
      <c r="BB34" s="26"/>
      <c r="BC34" s="26"/>
      <c r="BD34" s="26"/>
      <c r="BE34" s="6"/>
      <c r="BG34" s="1">
        <f t="shared" si="0"/>
        <v>2</v>
      </c>
    </row>
    <row r="35" spans="2:59" ht="15.75" customHeight="1" x14ac:dyDescent="0.25">
      <c r="B35" s="19" t="s">
        <v>167</v>
      </c>
      <c r="C35" s="5" t="s">
        <v>249</v>
      </c>
      <c r="D35" s="18" t="s">
        <v>250</v>
      </c>
      <c r="E35" s="4"/>
      <c r="F35" s="26"/>
      <c r="G35" s="26"/>
      <c r="H35" s="30"/>
      <c r="I35" s="4"/>
      <c r="J35" s="26"/>
      <c r="K35" s="26"/>
      <c r="L35" s="30"/>
      <c r="M35" s="4"/>
      <c r="N35" s="26"/>
      <c r="O35" s="26"/>
      <c r="P35" s="30"/>
      <c r="Q35" s="4"/>
      <c r="R35" s="26"/>
      <c r="S35" s="26">
        <v>1</v>
      </c>
      <c r="T35" s="30"/>
      <c r="U35" s="4"/>
      <c r="V35" s="26"/>
      <c r="W35" s="26"/>
      <c r="X35" s="30"/>
      <c r="Y35" s="4"/>
      <c r="Z35" s="26"/>
      <c r="AA35" s="26"/>
      <c r="AB35" s="30"/>
      <c r="AC35" s="4"/>
      <c r="AD35" s="26"/>
      <c r="AE35" s="26">
        <v>1</v>
      </c>
      <c r="AF35" s="30"/>
      <c r="AG35" s="4"/>
      <c r="AH35" s="26"/>
      <c r="AI35" s="26"/>
      <c r="AJ35" s="26"/>
      <c r="AK35" s="30"/>
      <c r="AL35" s="4"/>
      <c r="AM35" s="26"/>
      <c r="AN35" s="26"/>
      <c r="AO35" s="30"/>
      <c r="AP35" s="4"/>
      <c r="AQ35" s="26"/>
      <c r="AR35" s="26"/>
      <c r="AS35" s="30">
        <v>1</v>
      </c>
      <c r="AT35" s="4"/>
      <c r="AU35" s="26"/>
      <c r="AV35" s="26"/>
      <c r="AW35" s="30"/>
      <c r="AX35" s="4"/>
      <c r="AY35" s="26"/>
      <c r="AZ35" s="26"/>
      <c r="BA35" s="30"/>
      <c r="BB35" s="26"/>
      <c r="BC35" s="26"/>
      <c r="BD35" s="26"/>
      <c r="BE35" s="6"/>
      <c r="BG35" s="1">
        <f t="shared" si="0"/>
        <v>3</v>
      </c>
    </row>
    <row r="36" spans="2:59" ht="15.75" customHeight="1" x14ac:dyDescent="0.25">
      <c r="B36" s="19" t="s">
        <v>164</v>
      </c>
      <c r="C36" s="5" t="s">
        <v>251</v>
      </c>
      <c r="D36" s="18" t="s">
        <v>166</v>
      </c>
      <c r="E36" s="4"/>
      <c r="F36" s="26"/>
      <c r="G36" s="26"/>
      <c r="H36" s="30"/>
      <c r="I36" s="4"/>
      <c r="J36" s="26"/>
      <c r="K36" s="26"/>
      <c r="L36" s="30">
        <v>1</v>
      </c>
      <c r="M36" s="4"/>
      <c r="N36" s="26"/>
      <c r="O36" s="26"/>
      <c r="P36" s="30"/>
      <c r="Q36" s="4"/>
      <c r="R36" s="26"/>
      <c r="S36" s="26"/>
      <c r="T36" s="30"/>
      <c r="U36" s="4"/>
      <c r="V36" s="26">
        <v>1</v>
      </c>
      <c r="W36" s="26"/>
      <c r="X36" s="30"/>
      <c r="Y36" s="4"/>
      <c r="Z36" s="26"/>
      <c r="AA36" s="26"/>
      <c r="AB36" s="30"/>
      <c r="AC36" s="4"/>
      <c r="AD36" s="26"/>
      <c r="AE36" s="26"/>
      <c r="AF36" s="30"/>
      <c r="AG36" s="4"/>
      <c r="AH36" s="26">
        <v>1</v>
      </c>
      <c r="AI36" s="26"/>
      <c r="AJ36" s="26"/>
      <c r="AK36" s="30"/>
      <c r="AL36" s="4"/>
      <c r="AM36" s="26"/>
      <c r="AN36" s="26"/>
      <c r="AO36" s="30"/>
      <c r="AP36" s="4"/>
      <c r="AQ36" s="26"/>
      <c r="AR36" s="26"/>
      <c r="AS36" s="30"/>
      <c r="AT36" s="4"/>
      <c r="AU36" s="26"/>
      <c r="AV36" s="26"/>
      <c r="AW36" s="30">
        <v>1</v>
      </c>
      <c r="AX36" s="4"/>
      <c r="AY36" s="26"/>
      <c r="AZ36" s="26"/>
      <c r="BA36" s="30"/>
      <c r="BB36" s="26"/>
      <c r="BC36" s="26"/>
      <c r="BD36" s="26"/>
      <c r="BE36" s="6">
        <v>1</v>
      </c>
      <c r="BG36" s="1">
        <f t="shared" si="0"/>
        <v>5</v>
      </c>
    </row>
    <row r="37" spans="2:59" ht="15.75" customHeight="1" x14ac:dyDescent="0.25">
      <c r="B37" s="19" t="s">
        <v>161</v>
      </c>
      <c r="C37" s="5" t="s">
        <v>252</v>
      </c>
      <c r="D37" s="18" t="s">
        <v>163</v>
      </c>
      <c r="E37" s="4"/>
      <c r="F37" s="26"/>
      <c r="G37" s="26"/>
      <c r="H37" s="30">
        <v>1</v>
      </c>
      <c r="I37" s="4"/>
      <c r="J37" s="26"/>
      <c r="K37" s="26"/>
      <c r="L37" s="30"/>
      <c r="M37" s="4"/>
      <c r="N37" s="26">
        <v>1</v>
      </c>
      <c r="O37" s="26"/>
      <c r="P37" s="30"/>
      <c r="Q37" s="4"/>
      <c r="R37" s="26"/>
      <c r="S37" s="26"/>
      <c r="T37" s="30"/>
      <c r="U37" s="4"/>
      <c r="V37" s="26"/>
      <c r="W37" s="26"/>
      <c r="X37" s="30"/>
      <c r="Y37" s="4"/>
      <c r="Z37" s="26">
        <v>1</v>
      </c>
      <c r="AA37" s="26"/>
      <c r="AB37" s="30"/>
      <c r="AC37" s="4"/>
      <c r="AD37" s="26"/>
      <c r="AE37" s="26"/>
      <c r="AF37" s="30">
        <v>1</v>
      </c>
      <c r="AG37" s="4"/>
      <c r="AH37" s="26"/>
      <c r="AI37" s="26"/>
      <c r="AJ37" s="26"/>
      <c r="AK37" s="30"/>
      <c r="AL37" s="4"/>
      <c r="AM37" s="26">
        <v>1</v>
      </c>
      <c r="AN37" s="26"/>
      <c r="AO37" s="30"/>
      <c r="AP37" s="4"/>
      <c r="AQ37" s="26"/>
      <c r="AR37" s="26"/>
      <c r="AS37" s="30">
        <v>1</v>
      </c>
      <c r="AT37" s="4"/>
      <c r="AU37" s="26"/>
      <c r="AV37" s="26"/>
      <c r="AW37" s="30"/>
      <c r="AX37" s="4"/>
      <c r="AY37" s="26">
        <v>1</v>
      </c>
      <c r="AZ37" s="26"/>
      <c r="BA37" s="30"/>
      <c r="BB37" s="26"/>
      <c r="BC37" s="26"/>
      <c r="BD37" s="26"/>
      <c r="BE37" s="6"/>
      <c r="BG37" s="1">
        <f t="shared" si="0"/>
        <v>7</v>
      </c>
    </row>
    <row r="38" spans="2:59" ht="15.75" customHeight="1" x14ac:dyDescent="0.25">
      <c r="B38" s="19" t="s">
        <v>158</v>
      </c>
      <c r="C38" s="5" t="s">
        <v>253</v>
      </c>
      <c r="D38" s="18" t="s">
        <v>160</v>
      </c>
      <c r="E38" s="4"/>
      <c r="F38" s="26"/>
      <c r="G38" s="26"/>
      <c r="H38" s="30"/>
      <c r="I38" s="4"/>
      <c r="J38" s="26"/>
      <c r="K38" s="26"/>
      <c r="L38" s="30"/>
      <c r="M38" s="4"/>
      <c r="N38" s="26"/>
      <c r="O38" s="26">
        <v>1</v>
      </c>
      <c r="P38" s="30"/>
      <c r="Q38" s="4"/>
      <c r="R38" s="26"/>
      <c r="S38" s="26"/>
      <c r="T38" s="30"/>
      <c r="U38" s="4"/>
      <c r="V38" s="26"/>
      <c r="W38" s="26"/>
      <c r="X38" s="30"/>
      <c r="Y38" s="4"/>
      <c r="Z38" s="26"/>
      <c r="AA38" s="26">
        <v>1</v>
      </c>
      <c r="AB38" s="30"/>
      <c r="AC38" s="4"/>
      <c r="AD38" s="26"/>
      <c r="AE38" s="26"/>
      <c r="AF38" s="30"/>
      <c r="AG38" s="4"/>
      <c r="AH38" s="26"/>
      <c r="AI38" s="26"/>
      <c r="AJ38" s="26"/>
      <c r="AK38" s="30"/>
      <c r="AL38" s="4"/>
      <c r="AM38" s="26"/>
      <c r="AN38" s="26"/>
      <c r="AO38" s="30">
        <v>1</v>
      </c>
      <c r="AP38" s="4"/>
      <c r="AQ38" s="26"/>
      <c r="AR38" s="26"/>
      <c r="AS38" s="30"/>
      <c r="AT38" s="4"/>
      <c r="AU38" s="26"/>
      <c r="AV38" s="26"/>
      <c r="AW38" s="30"/>
      <c r="AX38" s="4"/>
      <c r="AY38" s="26"/>
      <c r="AZ38" s="26">
        <v>1</v>
      </c>
      <c r="BA38" s="30"/>
      <c r="BB38" s="26"/>
      <c r="BC38" s="26"/>
      <c r="BD38" s="26"/>
      <c r="BE38" s="6"/>
      <c r="BG38" s="1">
        <f t="shared" si="0"/>
        <v>4</v>
      </c>
    </row>
    <row r="39" spans="2:59" ht="15.75" customHeight="1" x14ac:dyDescent="0.25">
      <c r="B39" s="19" t="s">
        <v>156</v>
      </c>
      <c r="C39" s="5" t="s">
        <v>254</v>
      </c>
      <c r="D39" s="18" t="s">
        <v>157</v>
      </c>
      <c r="E39" s="4"/>
      <c r="F39" s="26"/>
      <c r="G39" s="26"/>
      <c r="H39" s="30"/>
      <c r="I39" s="4"/>
      <c r="J39" s="26"/>
      <c r="K39" s="26">
        <v>1</v>
      </c>
      <c r="L39" s="30"/>
      <c r="M39" s="4"/>
      <c r="N39" s="26"/>
      <c r="O39" s="26"/>
      <c r="P39" s="30"/>
      <c r="Q39" s="4"/>
      <c r="R39" s="26"/>
      <c r="S39" s="26"/>
      <c r="T39" s="30"/>
      <c r="U39" s="4"/>
      <c r="V39" s="26"/>
      <c r="W39" s="26"/>
      <c r="X39" s="30">
        <v>1</v>
      </c>
      <c r="Y39" s="4"/>
      <c r="Z39" s="26"/>
      <c r="AA39" s="26"/>
      <c r="AB39" s="30"/>
      <c r="AC39" s="4"/>
      <c r="AD39" s="26"/>
      <c r="AE39" s="26"/>
      <c r="AF39" s="30"/>
      <c r="AG39" s="4"/>
      <c r="AH39" s="26"/>
      <c r="AI39" s="26">
        <v>1</v>
      </c>
      <c r="AJ39" s="26"/>
      <c r="AK39" s="30"/>
      <c r="AL39" s="4"/>
      <c r="AM39" s="26"/>
      <c r="AN39" s="26"/>
      <c r="AO39" s="30"/>
      <c r="AP39" s="4"/>
      <c r="AQ39" s="26"/>
      <c r="AR39" s="26"/>
      <c r="AS39" s="30"/>
      <c r="AT39" s="4"/>
      <c r="AU39" s="26"/>
      <c r="AV39" s="26">
        <v>1</v>
      </c>
      <c r="AW39" s="30"/>
      <c r="AX39" s="4"/>
      <c r="AY39" s="26"/>
      <c r="AZ39" s="26"/>
      <c r="BA39" s="30"/>
      <c r="BB39" s="26"/>
      <c r="BC39" s="26">
        <v>1</v>
      </c>
      <c r="BD39" s="26"/>
      <c r="BE39" s="6"/>
      <c r="BG39" s="1">
        <f t="shared" si="0"/>
        <v>5</v>
      </c>
    </row>
    <row r="40" spans="2:59" ht="15.75" customHeight="1" x14ac:dyDescent="0.25">
      <c r="B40" s="19" t="s">
        <v>153</v>
      </c>
      <c r="C40" s="5" t="s">
        <v>255</v>
      </c>
      <c r="D40" s="18" t="s">
        <v>155</v>
      </c>
      <c r="E40" s="4"/>
      <c r="F40" s="26"/>
      <c r="G40" s="26"/>
      <c r="H40" s="30">
        <v>1</v>
      </c>
      <c r="I40" s="4"/>
      <c r="J40" s="26"/>
      <c r="K40" s="26"/>
      <c r="L40" s="30"/>
      <c r="M40" s="4"/>
      <c r="N40" s="26"/>
      <c r="O40" s="26"/>
      <c r="P40" s="30"/>
      <c r="Q40" s="4"/>
      <c r="R40" s="26"/>
      <c r="S40" s="26"/>
      <c r="T40" s="30">
        <v>1</v>
      </c>
      <c r="U40" s="4"/>
      <c r="V40" s="26"/>
      <c r="W40" s="26"/>
      <c r="X40" s="30"/>
      <c r="Y40" s="4"/>
      <c r="Z40" s="26"/>
      <c r="AA40" s="26"/>
      <c r="AB40" s="30"/>
      <c r="AC40" s="4"/>
      <c r="AD40" s="26"/>
      <c r="AE40" s="26">
        <v>1</v>
      </c>
      <c r="AF40" s="30"/>
      <c r="AG40" s="4"/>
      <c r="AH40" s="26"/>
      <c r="AI40" s="26"/>
      <c r="AJ40" s="26"/>
      <c r="AK40" s="30"/>
      <c r="AL40" s="4"/>
      <c r="AM40" s="26"/>
      <c r="AN40" s="26"/>
      <c r="AO40" s="30"/>
      <c r="AP40" s="4"/>
      <c r="AQ40" s="26"/>
      <c r="AR40" s="26"/>
      <c r="AS40" s="30">
        <v>1</v>
      </c>
      <c r="AT40" s="4"/>
      <c r="AU40" s="26"/>
      <c r="AV40" s="26"/>
      <c r="AW40" s="30"/>
      <c r="AX40" s="4"/>
      <c r="AY40" s="26"/>
      <c r="AZ40" s="26"/>
      <c r="BA40" s="30"/>
      <c r="BB40" s="26"/>
      <c r="BC40" s="26"/>
      <c r="BD40" s="26"/>
      <c r="BE40" s="6"/>
      <c r="BG40" s="1">
        <f t="shared" si="0"/>
        <v>4</v>
      </c>
    </row>
    <row r="41" spans="2:59" ht="15.75" customHeight="1" x14ac:dyDescent="0.25">
      <c r="B41" s="19" t="s">
        <v>150</v>
      </c>
      <c r="C41" s="5" t="s">
        <v>256</v>
      </c>
      <c r="D41" s="18" t="s">
        <v>152</v>
      </c>
      <c r="E41" s="4"/>
      <c r="F41" s="26"/>
      <c r="G41" s="26">
        <v>1</v>
      </c>
      <c r="H41" s="30"/>
      <c r="I41" s="4"/>
      <c r="J41" s="26"/>
      <c r="K41" s="26"/>
      <c r="L41" s="30"/>
      <c r="M41" s="4"/>
      <c r="N41" s="26"/>
      <c r="O41" s="26"/>
      <c r="P41" s="30"/>
      <c r="Q41" s="4"/>
      <c r="R41" s="26"/>
      <c r="S41" s="26"/>
      <c r="T41" s="30"/>
      <c r="U41" s="4"/>
      <c r="V41" s="26"/>
      <c r="W41" s="26"/>
      <c r="X41" s="30"/>
      <c r="Y41" s="4"/>
      <c r="Z41" s="26"/>
      <c r="AA41" s="26"/>
      <c r="AB41" s="30"/>
      <c r="AC41" s="4">
        <v>1</v>
      </c>
      <c r="AD41" s="26"/>
      <c r="AE41" s="26"/>
      <c r="AF41" s="30"/>
      <c r="AG41" s="4"/>
      <c r="AH41" s="26"/>
      <c r="AI41" s="26"/>
      <c r="AJ41" s="26"/>
      <c r="AK41" s="30"/>
      <c r="AL41" s="4"/>
      <c r="AM41" s="26"/>
      <c r="AN41" s="26"/>
      <c r="AO41" s="30"/>
      <c r="AP41" s="4"/>
      <c r="AQ41" s="26"/>
      <c r="AR41" s="26"/>
      <c r="AS41" s="30"/>
      <c r="AT41" s="4"/>
      <c r="AU41" s="26"/>
      <c r="AV41" s="26"/>
      <c r="AW41" s="30"/>
      <c r="AX41" s="4"/>
      <c r="AY41" s="26"/>
      <c r="AZ41" s="26"/>
      <c r="BA41" s="30"/>
      <c r="BB41" s="26"/>
      <c r="BC41" s="26"/>
      <c r="BD41" s="26"/>
      <c r="BE41" s="6"/>
      <c r="BG41" s="1">
        <f t="shared" si="0"/>
        <v>2</v>
      </c>
    </row>
    <row r="42" spans="2:59" ht="15.75" customHeight="1" x14ac:dyDescent="0.25">
      <c r="B42" s="19" t="s">
        <v>147</v>
      </c>
      <c r="C42" s="5" t="s">
        <v>257</v>
      </c>
      <c r="D42" s="18" t="s">
        <v>149</v>
      </c>
      <c r="E42" s="4"/>
      <c r="F42" s="26"/>
      <c r="G42" s="26"/>
      <c r="H42" s="30"/>
      <c r="I42" s="4"/>
      <c r="J42" s="26"/>
      <c r="K42" s="26"/>
      <c r="L42" s="30"/>
      <c r="M42" s="4"/>
      <c r="N42" s="26"/>
      <c r="O42" s="26"/>
      <c r="P42" s="30">
        <v>1</v>
      </c>
      <c r="Q42" s="4"/>
      <c r="R42" s="26"/>
      <c r="S42" s="26"/>
      <c r="T42" s="30"/>
      <c r="U42" s="4"/>
      <c r="V42" s="26"/>
      <c r="W42" s="26"/>
      <c r="X42" s="30"/>
      <c r="Y42" s="4"/>
      <c r="Z42" s="26"/>
      <c r="AA42" s="26"/>
      <c r="AB42" s="30">
        <v>1</v>
      </c>
      <c r="AC42" s="4"/>
      <c r="AD42" s="26"/>
      <c r="AE42" s="26"/>
      <c r="AF42" s="30"/>
      <c r="AG42" s="4"/>
      <c r="AH42" s="26"/>
      <c r="AI42" s="26"/>
      <c r="AJ42" s="26"/>
      <c r="AK42" s="30"/>
      <c r="AL42" s="4"/>
      <c r="AM42" s="26"/>
      <c r="AN42" s="26"/>
      <c r="AO42" s="30">
        <v>1</v>
      </c>
      <c r="AP42" s="4"/>
      <c r="AQ42" s="26"/>
      <c r="AR42" s="26"/>
      <c r="AS42" s="30"/>
      <c r="AT42" s="4"/>
      <c r="AU42" s="26"/>
      <c r="AV42" s="26"/>
      <c r="AW42" s="30"/>
      <c r="AX42" s="4"/>
      <c r="AY42" s="26"/>
      <c r="AZ42" s="26"/>
      <c r="BA42" s="30">
        <v>1</v>
      </c>
      <c r="BB42" s="26"/>
      <c r="BC42" s="26"/>
      <c r="BD42" s="26"/>
      <c r="BE42" s="6"/>
      <c r="BG42" s="1">
        <f t="shared" si="0"/>
        <v>4</v>
      </c>
    </row>
    <row r="43" spans="2:59" ht="15.75" customHeight="1" x14ac:dyDescent="0.25">
      <c r="B43" s="19" t="s">
        <v>145</v>
      </c>
      <c r="C43" s="5" t="s">
        <v>258</v>
      </c>
      <c r="D43" s="18" t="s">
        <v>146</v>
      </c>
      <c r="E43" s="4"/>
      <c r="F43" s="26"/>
      <c r="G43" s="26"/>
      <c r="H43" s="30"/>
      <c r="I43" s="4"/>
      <c r="J43" s="26"/>
      <c r="K43" s="26">
        <v>1</v>
      </c>
      <c r="L43" s="30"/>
      <c r="M43" s="4"/>
      <c r="N43" s="26"/>
      <c r="O43" s="26"/>
      <c r="P43" s="30"/>
      <c r="Q43" s="4"/>
      <c r="R43" s="26"/>
      <c r="S43" s="26"/>
      <c r="T43" s="30"/>
      <c r="U43" s="4"/>
      <c r="V43" s="26"/>
      <c r="W43" s="26"/>
      <c r="X43" s="30">
        <v>1</v>
      </c>
      <c r="Y43" s="4"/>
      <c r="Z43" s="26"/>
      <c r="AA43" s="26"/>
      <c r="AB43" s="30"/>
      <c r="AC43" s="4"/>
      <c r="AD43" s="26"/>
      <c r="AE43" s="26"/>
      <c r="AF43" s="30"/>
      <c r="AG43" s="4"/>
      <c r="AH43" s="26"/>
      <c r="AI43" s="26">
        <v>1</v>
      </c>
      <c r="AJ43" s="26"/>
      <c r="AK43" s="30"/>
      <c r="AL43" s="4"/>
      <c r="AM43" s="26"/>
      <c r="AN43" s="26"/>
      <c r="AO43" s="30"/>
      <c r="AP43" s="4"/>
      <c r="AQ43" s="26"/>
      <c r="AR43" s="26"/>
      <c r="AS43" s="30"/>
      <c r="AT43" s="4"/>
      <c r="AU43" s="26"/>
      <c r="AV43" s="26">
        <v>1</v>
      </c>
      <c r="AW43" s="30"/>
      <c r="AX43" s="4"/>
      <c r="AY43" s="26"/>
      <c r="AZ43" s="26"/>
      <c r="BA43" s="30"/>
      <c r="BB43" s="26"/>
      <c r="BC43" s="26"/>
      <c r="BD43" s="26">
        <v>1</v>
      </c>
      <c r="BE43" s="6"/>
      <c r="BG43" s="1">
        <f t="shared" si="0"/>
        <v>5</v>
      </c>
    </row>
    <row r="44" spans="2:59" ht="15.75" customHeight="1" x14ac:dyDescent="0.25">
      <c r="B44" s="17" t="s">
        <v>142</v>
      </c>
      <c r="C44" s="5" t="s">
        <v>259</v>
      </c>
      <c r="D44" s="18" t="s">
        <v>260</v>
      </c>
      <c r="E44" s="4"/>
      <c r="F44" s="26">
        <v>1</v>
      </c>
      <c r="G44" s="26"/>
      <c r="H44" s="30"/>
      <c r="I44" s="4"/>
      <c r="J44" s="26"/>
      <c r="K44" s="26"/>
      <c r="L44" s="30">
        <v>1</v>
      </c>
      <c r="M44" s="4"/>
      <c r="N44" s="26"/>
      <c r="O44" s="26"/>
      <c r="P44" s="30"/>
      <c r="Q44" s="4"/>
      <c r="R44" s="26">
        <v>1</v>
      </c>
      <c r="S44" s="26"/>
      <c r="T44" s="30"/>
      <c r="U44" s="4"/>
      <c r="V44" s="26">
        <v>1</v>
      </c>
      <c r="W44" s="26"/>
      <c r="X44" s="30"/>
      <c r="Y44" s="4"/>
      <c r="Z44" s="26"/>
      <c r="AA44" s="26"/>
      <c r="AB44" s="30"/>
      <c r="AC44" s="4"/>
      <c r="AD44" s="26"/>
      <c r="AE44" s="26">
        <v>1</v>
      </c>
      <c r="AF44" s="30"/>
      <c r="AG44" s="4"/>
      <c r="AH44" s="26"/>
      <c r="AI44" s="26"/>
      <c r="AJ44" s="26"/>
      <c r="AK44" s="30">
        <v>1</v>
      </c>
      <c r="AL44" s="4"/>
      <c r="AM44" s="26"/>
      <c r="AN44" s="26"/>
      <c r="AO44" s="30"/>
      <c r="AP44" s="4"/>
      <c r="AQ44" s="26">
        <v>1</v>
      </c>
      <c r="AR44" s="26"/>
      <c r="AS44" s="30"/>
      <c r="AT44" s="4"/>
      <c r="AU44" s="26"/>
      <c r="AV44" s="26"/>
      <c r="AW44" s="30">
        <v>1</v>
      </c>
      <c r="AX44" s="4"/>
      <c r="AY44" s="26"/>
      <c r="AZ44" s="26"/>
      <c r="BA44" s="30"/>
      <c r="BB44" s="26"/>
      <c r="BC44" s="26"/>
      <c r="BD44" s="26"/>
      <c r="BE44" s="6"/>
      <c r="BG44" s="1">
        <f t="shared" si="0"/>
        <v>8</v>
      </c>
    </row>
    <row r="45" spans="2:59" ht="15.75" customHeight="1" x14ac:dyDescent="0.25">
      <c r="B45" s="19" t="s">
        <v>139</v>
      </c>
      <c r="C45" s="5" t="s">
        <v>261</v>
      </c>
      <c r="D45" s="18" t="s">
        <v>262</v>
      </c>
      <c r="E45" s="4"/>
      <c r="F45" s="26"/>
      <c r="G45" s="26"/>
      <c r="H45" s="30">
        <v>1</v>
      </c>
      <c r="I45" s="4"/>
      <c r="J45" s="26"/>
      <c r="K45" s="26"/>
      <c r="L45" s="30"/>
      <c r="M45" s="4"/>
      <c r="N45" s="26"/>
      <c r="O45" s="26"/>
      <c r="P45" s="30"/>
      <c r="Q45" s="4"/>
      <c r="R45" s="26"/>
      <c r="S45" s="26"/>
      <c r="T45" s="30"/>
      <c r="U45" s="4"/>
      <c r="V45" s="26"/>
      <c r="W45" s="26"/>
      <c r="X45" s="30"/>
      <c r="Y45" s="4"/>
      <c r="Z45" s="26"/>
      <c r="AA45" s="26"/>
      <c r="AB45" s="30"/>
      <c r="AC45" s="4"/>
      <c r="AD45" s="26"/>
      <c r="AE45" s="26"/>
      <c r="AF45" s="30"/>
      <c r="AG45" s="4"/>
      <c r="AH45" s="26"/>
      <c r="AI45" s="26"/>
      <c r="AJ45" s="26"/>
      <c r="AK45" s="30"/>
      <c r="AL45" s="4"/>
      <c r="AM45" s="26"/>
      <c r="AN45" s="26"/>
      <c r="AO45" s="30"/>
      <c r="AP45" s="4"/>
      <c r="AQ45" s="26"/>
      <c r="AR45" s="26"/>
      <c r="AS45" s="30"/>
      <c r="AT45" s="4"/>
      <c r="AU45" s="26"/>
      <c r="AV45" s="26"/>
      <c r="AW45" s="30"/>
      <c r="AX45" s="4"/>
      <c r="AY45" s="26"/>
      <c r="AZ45" s="26"/>
      <c r="BA45" s="30">
        <v>1</v>
      </c>
      <c r="BB45" s="26"/>
      <c r="BC45" s="26"/>
      <c r="BD45" s="26"/>
      <c r="BE45" s="6"/>
      <c r="BG45" s="1">
        <f t="shared" si="0"/>
        <v>2</v>
      </c>
    </row>
    <row r="46" spans="2:59" ht="15.75" customHeight="1" x14ac:dyDescent="0.25">
      <c r="B46" s="19" t="s">
        <v>136</v>
      </c>
      <c r="C46" s="5" t="s">
        <v>263</v>
      </c>
      <c r="D46" s="18" t="s">
        <v>264</v>
      </c>
      <c r="E46" s="4"/>
      <c r="F46" s="26"/>
      <c r="G46" s="26">
        <v>1</v>
      </c>
      <c r="H46" s="30"/>
      <c r="I46" s="4"/>
      <c r="J46" s="26"/>
      <c r="K46" s="26"/>
      <c r="L46" s="30"/>
      <c r="M46" s="4"/>
      <c r="N46" s="26"/>
      <c r="O46" s="26"/>
      <c r="P46" s="30"/>
      <c r="Q46" s="4"/>
      <c r="R46" s="26"/>
      <c r="S46" s="26">
        <v>1</v>
      </c>
      <c r="T46" s="30"/>
      <c r="U46" s="4"/>
      <c r="V46" s="26"/>
      <c r="W46" s="26"/>
      <c r="X46" s="30"/>
      <c r="Y46" s="4"/>
      <c r="Z46" s="26"/>
      <c r="AA46" s="26"/>
      <c r="AB46" s="30"/>
      <c r="AC46" s="4"/>
      <c r="AD46" s="26"/>
      <c r="AE46" s="26">
        <v>1</v>
      </c>
      <c r="AF46" s="30"/>
      <c r="AG46" s="4"/>
      <c r="AH46" s="26"/>
      <c r="AI46" s="26"/>
      <c r="AJ46" s="26"/>
      <c r="AK46" s="30"/>
      <c r="AL46" s="4"/>
      <c r="AM46" s="26"/>
      <c r="AN46" s="26"/>
      <c r="AO46" s="30"/>
      <c r="AP46" s="4"/>
      <c r="AQ46" s="26"/>
      <c r="AR46" s="26">
        <v>1</v>
      </c>
      <c r="AS46" s="30"/>
      <c r="AT46" s="4"/>
      <c r="AU46" s="26"/>
      <c r="AV46" s="26"/>
      <c r="AW46" s="30"/>
      <c r="AX46" s="4"/>
      <c r="AY46" s="26"/>
      <c r="AZ46" s="26"/>
      <c r="BA46" s="30"/>
      <c r="BB46" s="26"/>
      <c r="BC46" s="26"/>
      <c r="BD46" s="26"/>
      <c r="BE46" s="6"/>
      <c r="BG46" s="1">
        <f t="shared" si="0"/>
        <v>4</v>
      </c>
    </row>
    <row r="47" spans="2:59" ht="15.75" customHeight="1" x14ac:dyDescent="0.25">
      <c r="B47" s="19" t="s">
        <v>133</v>
      </c>
      <c r="C47" s="5" t="s">
        <v>265</v>
      </c>
      <c r="D47" s="18" t="s">
        <v>135</v>
      </c>
      <c r="E47" s="4"/>
      <c r="F47" s="26"/>
      <c r="G47" s="26"/>
      <c r="H47" s="30">
        <v>1</v>
      </c>
      <c r="I47" s="4"/>
      <c r="J47" s="26"/>
      <c r="K47" s="26"/>
      <c r="L47" s="30"/>
      <c r="M47" s="4"/>
      <c r="N47" s="26">
        <v>1</v>
      </c>
      <c r="O47" s="26"/>
      <c r="P47" s="30"/>
      <c r="Q47" s="4"/>
      <c r="R47" s="26"/>
      <c r="S47" s="26"/>
      <c r="T47" s="30">
        <v>1</v>
      </c>
      <c r="U47" s="4"/>
      <c r="V47" s="26"/>
      <c r="W47" s="26"/>
      <c r="X47" s="30"/>
      <c r="Y47" s="4"/>
      <c r="Z47" s="26">
        <v>1</v>
      </c>
      <c r="AA47" s="26"/>
      <c r="AB47" s="30"/>
      <c r="AC47" s="4"/>
      <c r="AD47" s="26"/>
      <c r="AE47" s="26"/>
      <c r="AF47" s="30"/>
      <c r="AG47" s="4"/>
      <c r="AH47" s="26"/>
      <c r="AI47" s="26"/>
      <c r="AJ47" s="26"/>
      <c r="AK47" s="30"/>
      <c r="AL47" s="4"/>
      <c r="AM47" s="26"/>
      <c r="AN47" s="26"/>
      <c r="AO47" s="30"/>
      <c r="AP47" s="4"/>
      <c r="AQ47" s="26"/>
      <c r="AR47" s="26"/>
      <c r="AS47" s="30">
        <v>1</v>
      </c>
      <c r="AT47" s="4"/>
      <c r="AU47" s="26"/>
      <c r="AV47" s="26"/>
      <c r="AW47" s="30"/>
      <c r="AX47" s="4"/>
      <c r="AY47" s="26">
        <v>1</v>
      </c>
      <c r="AZ47" s="26"/>
      <c r="BA47" s="30"/>
      <c r="BB47" s="26"/>
      <c r="BC47" s="26"/>
      <c r="BD47" s="26"/>
      <c r="BE47" s="6"/>
      <c r="BG47" s="1">
        <f t="shared" si="0"/>
        <v>6</v>
      </c>
    </row>
    <row r="48" spans="2:59" ht="15.75" customHeight="1" x14ac:dyDescent="0.25">
      <c r="B48" s="17" t="s">
        <v>130</v>
      </c>
      <c r="C48" s="5" t="s">
        <v>266</v>
      </c>
      <c r="D48" s="18" t="s">
        <v>267</v>
      </c>
      <c r="E48" s="4"/>
      <c r="F48" s="26"/>
      <c r="G48" s="26"/>
      <c r="H48" s="30">
        <v>1</v>
      </c>
      <c r="I48" s="4"/>
      <c r="J48" s="26"/>
      <c r="K48" s="26"/>
      <c r="L48" s="30"/>
      <c r="M48" s="4"/>
      <c r="N48" s="26">
        <v>1</v>
      </c>
      <c r="O48" s="26"/>
      <c r="P48" s="30"/>
      <c r="Q48" s="4"/>
      <c r="R48" s="26"/>
      <c r="S48" s="26"/>
      <c r="T48" s="30">
        <v>1</v>
      </c>
      <c r="U48" s="4"/>
      <c r="V48" s="26"/>
      <c r="W48" s="26"/>
      <c r="X48" s="30">
        <v>1</v>
      </c>
      <c r="Y48" s="4"/>
      <c r="Z48" s="26"/>
      <c r="AA48" s="26"/>
      <c r="AB48" s="30"/>
      <c r="AC48" s="4"/>
      <c r="AD48" s="26"/>
      <c r="AE48" s="26"/>
      <c r="AF48" s="30">
        <v>1</v>
      </c>
      <c r="AG48" s="4"/>
      <c r="AH48" s="26"/>
      <c r="AI48" s="26"/>
      <c r="AJ48" s="26"/>
      <c r="AK48" s="30"/>
      <c r="AL48" s="4"/>
      <c r="AM48" s="26">
        <v>1</v>
      </c>
      <c r="AN48" s="26"/>
      <c r="AO48" s="30"/>
      <c r="AP48" s="4"/>
      <c r="AQ48" s="26"/>
      <c r="AR48" s="26"/>
      <c r="AS48" s="30">
        <v>1</v>
      </c>
      <c r="AT48" s="4"/>
      <c r="AU48" s="26"/>
      <c r="AV48" s="26"/>
      <c r="AW48" s="30"/>
      <c r="AX48" s="4"/>
      <c r="AY48" s="26">
        <v>1</v>
      </c>
      <c r="AZ48" s="26"/>
      <c r="BA48" s="30"/>
      <c r="BB48" s="26"/>
      <c r="BC48" s="26"/>
      <c r="BD48" s="26"/>
      <c r="BE48" s="6"/>
      <c r="BG48" s="1">
        <f t="shared" si="0"/>
        <v>8</v>
      </c>
    </row>
    <row r="49" spans="2:59" ht="15.75" customHeight="1" x14ac:dyDescent="0.25">
      <c r="B49" s="17" t="s">
        <v>127</v>
      </c>
      <c r="C49" s="5" t="s">
        <v>268</v>
      </c>
      <c r="D49" s="18" t="s">
        <v>269</v>
      </c>
      <c r="E49" s="4"/>
      <c r="F49" s="26">
        <v>1</v>
      </c>
      <c r="G49" s="26"/>
      <c r="H49" s="30"/>
      <c r="I49" s="4"/>
      <c r="J49" s="26"/>
      <c r="K49" s="26"/>
      <c r="L49" s="30">
        <v>1</v>
      </c>
      <c r="M49" s="4"/>
      <c r="N49" s="26"/>
      <c r="O49" s="26"/>
      <c r="P49" s="30"/>
      <c r="Q49" s="4"/>
      <c r="R49" s="26">
        <v>1</v>
      </c>
      <c r="S49" s="26"/>
      <c r="T49" s="30"/>
      <c r="U49" s="4"/>
      <c r="V49" s="26"/>
      <c r="W49" s="26"/>
      <c r="X49" s="30"/>
      <c r="Y49" s="4"/>
      <c r="Z49" s="26"/>
      <c r="AA49" s="26"/>
      <c r="AB49" s="30"/>
      <c r="AC49" s="4"/>
      <c r="AD49" s="26"/>
      <c r="AE49" s="26"/>
      <c r="AF49" s="30"/>
      <c r="AG49" s="4"/>
      <c r="AH49" s="26"/>
      <c r="AI49" s="26"/>
      <c r="AJ49" s="26"/>
      <c r="AK49" s="30"/>
      <c r="AL49" s="4"/>
      <c r="AM49" s="26"/>
      <c r="AN49" s="26"/>
      <c r="AO49" s="30"/>
      <c r="AP49" s="4"/>
      <c r="AQ49" s="26">
        <v>1</v>
      </c>
      <c r="AR49" s="26"/>
      <c r="AS49" s="30"/>
      <c r="AT49" s="4"/>
      <c r="AU49" s="26"/>
      <c r="AV49" s="26"/>
      <c r="AW49" s="30">
        <v>1</v>
      </c>
      <c r="AX49" s="4"/>
      <c r="AY49" s="26"/>
      <c r="AZ49" s="26"/>
      <c r="BA49" s="30"/>
      <c r="BB49" s="26"/>
      <c r="BC49" s="26"/>
      <c r="BD49" s="26"/>
      <c r="BE49" s="6">
        <v>1</v>
      </c>
      <c r="BG49" s="1">
        <f t="shared" si="0"/>
        <v>6</v>
      </c>
    </row>
    <row r="50" spans="2:59" ht="15.75" customHeight="1" x14ac:dyDescent="0.25">
      <c r="B50" s="19" t="s">
        <v>124</v>
      </c>
      <c r="C50" s="5" t="s">
        <v>270</v>
      </c>
      <c r="D50" s="18" t="s">
        <v>126</v>
      </c>
      <c r="E50" s="4"/>
      <c r="F50" s="26"/>
      <c r="G50" s="26"/>
      <c r="H50" s="30"/>
      <c r="I50" s="4"/>
      <c r="J50" s="26"/>
      <c r="K50" s="26"/>
      <c r="L50" s="30"/>
      <c r="M50" s="4"/>
      <c r="N50" s="26"/>
      <c r="O50" s="26"/>
      <c r="P50" s="30"/>
      <c r="Q50" s="4"/>
      <c r="R50" s="26"/>
      <c r="S50" s="26"/>
      <c r="T50" s="30"/>
      <c r="U50" s="4"/>
      <c r="V50" s="26">
        <v>1</v>
      </c>
      <c r="W50" s="26"/>
      <c r="X50" s="30"/>
      <c r="Y50" s="4"/>
      <c r="Z50" s="26"/>
      <c r="AA50" s="26"/>
      <c r="AB50" s="30"/>
      <c r="AC50" s="4"/>
      <c r="AD50" s="26"/>
      <c r="AE50" s="26"/>
      <c r="AF50" s="30"/>
      <c r="AG50" s="4"/>
      <c r="AH50" s="26"/>
      <c r="AI50" s="26"/>
      <c r="AJ50" s="26"/>
      <c r="AK50" s="30"/>
      <c r="AL50" s="4"/>
      <c r="AM50" s="26"/>
      <c r="AN50" s="26"/>
      <c r="AO50" s="30"/>
      <c r="AP50" s="4"/>
      <c r="AQ50" s="26"/>
      <c r="AR50" s="26"/>
      <c r="AS50" s="30"/>
      <c r="AT50" s="4"/>
      <c r="AU50" s="26">
        <v>1</v>
      </c>
      <c r="AV50" s="26"/>
      <c r="AW50" s="30"/>
      <c r="AX50" s="4"/>
      <c r="AY50" s="26"/>
      <c r="AZ50" s="26"/>
      <c r="BA50" s="30"/>
      <c r="BB50" s="26"/>
      <c r="BC50" s="26">
        <v>1</v>
      </c>
      <c r="BD50" s="26"/>
      <c r="BE50" s="6"/>
      <c r="BG50" s="1">
        <f t="shared" si="0"/>
        <v>3</v>
      </c>
    </row>
    <row r="51" spans="2:59" ht="15.75" customHeight="1" x14ac:dyDescent="0.25">
      <c r="B51" s="19" t="s">
        <v>121</v>
      </c>
      <c r="C51" s="5" t="s">
        <v>271</v>
      </c>
      <c r="D51" s="18" t="s">
        <v>272</v>
      </c>
      <c r="E51" s="4"/>
      <c r="F51" s="26"/>
      <c r="G51" s="26"/>
      <c r="H51" s="30"/>
      <c r="I51" s="4"/>
      <c r="J51" s="26"/>
      <c r="K51" s="26"/>
      <c r="L51" s="30"/>
      <c r="M51" s="4"/>
      <c r="N51" s="26"/>
      <c r="O51" s="26"/>
      <c r="P51" s="30"/>
      <c r="Q51" s="4"/>
      <c r="R51" s="26">
        <v>1</v>
      </c>
      <c r="S51" s="26"/>
      <c r="T51" s="30"/>
      <c r="U51" s="4"/>
      <c r="V51" s="26"/>
      <c r="W51" s="26"/>
      <c r="X51" s="30"/>
      <c r="Y51" s="4"/>
      <c r="Z51" s="26"/>
      <c r="AA51" s="26"/>
      <c r="AB51" s="30"/>
      <c r="AC51" s="4"/>
      <c r="AD51" s="26"/>
      <c r="AE51" s="26"/>
      <c r="AF51" s="30"/>
      <c r="AG51" s="4"/>
      <c r="AH51" s="26"/>
      <c r="AI51" s="26"/>
      <c r="AJ51" s="26"/>
      <c r="AK51" s="30"/>
      <c r="AL51" s="4"/>
      <c r="AM51" s="26"/>
      <c r="AN51" s="26"/>
      <c r="AO51" s="30"/>
      <c r="AP51" s="4"/>
      <c r="AQ51" s="26"/>
      <c r="AR51" s="26"/>
      <c r="AS51" s="30">
        <v>1</v>
      </c>
      <c r="AT51" s="4"/>
      <c r="AU51" s="26"/>
      <c r="AV51" s="26"/>
      <c r="AW51" s="30"/>
      <c r="AX51" s="4"/>
      <c r="AY51" s="26"/>
      <c r="AZ51" s="26"/>
      <c r="BA51" s="30"/>
      <c r="BB51" s="26"/>
      <c r="BC51" s="26"/>
      <c r="BD51" s="26"/>
      <c r="BE51" s="6"/>
      <c r="BG51" s="1">
        <f t="shared" si="0"/>
        <v>2</v>
      </c>
    </row>
    <row r="52" spans="2:59" ht="15.75" customHeight="1" x14ac:dyDescent="0.25">
      <c r="B52" s="17" t="s">
        <v>118</v>
      </c>
      <c r="C52" s="5" t="s">
        <v>273</v>
      </c>
      <c r="D52" s="18" t="s">
        <v>274</v>
      </c>
      <c r="E52" s="4"/>
      <c r="F52" s="26"/>
      <c r="G52" s="26"/>
      <c r="H52" s="30"/>
      <c r="I52" s="4"/>
      <c r="J52" s="26"/>
      <c r="K52" s="26"/>
      <c r="L52" s="30"/>
      <c r="M52" s="4"/>
      <c r="N52" s="26"/>
      <c r="O52" s="26">
        <v>1</v>
      </c>
      <c r="P52" s="30"/>
      <c r="Q52" s="4"/>
      <c r="R52" s="26"/>
      <c r="S52" s="26"/>
      <c r="T52" s="30"/>
      <c r="U52" s="4"/>
      <c r="V52" s="26"/>
      <c r="W52" s="26"/>
      <c r="X52" s="30"/>
      <c r="Y52" s="4"/>
      <c r="Z52" s="26"/>
      <c r="AA52" s="26"/>
      <c r="AB52" s="30">
        <v>1</v>
      </c>
      <c r="AC52" s="4"/>
      <c r="AD52" s="26"/>
      <c r="AE52" s="26"/>
      <c r="AF52" s="30"/>
      <c r="AG52" s="4"/>
      <c r="AH52" s="26"/>
      <c r="AI52" s="26"/>
      <c r="AJ52" s="26"/>
      <c r="AK52" s="30"/>
      <c r="AL52" s="4"/>
      <c r="AM52" s="26"/>
      <c r="AN52" s="26"/>
      <c r="AO52" s="30">
        <v>1</v>
      </c>
      <c r="AP52" s="4"/>
      <c r="AQ52" s="26"/>
      <c r="AR52" s="26"/>
      <c r="AS52" s="30"/>
      <c r="AT52" s="4"/>
      <c r="AU52" s="26"/>
      <c r="AV52" s="26"/>
      <c r="AW52" s="30"/>
      <c r="AX52" s="4"/>
      <c r="AY52" s="26"/>
      <c r="AZ52" s="26">
        <v>1</v>
      </c>
      <c r="BA52" s="30"/>
      <c r="BB52" s="26"/>
      <c r="BC52" s="26"/>
      <c r="BD52" s="26"/>
      <c r="BE52" s="6"/>
      <c r="BG52" s="1">
        <f t="shared" si="0"/>
        <v>4</v>
      </c>
    </row>
    <row r="53" spans="2:59" ht="15.75" customHeight="1" x14ac:dyDescent="0.25">
      <c r="B53" s="19" t="s">
        <v>115</v>
      </c>
      <c r="C53" s="5" t="s">
        <v>275</v>
      </c>
      <c r="D53" s="18" t="s">
        <v>276</v>
      </c>
      <c r="E53" s="4"/>
      <c r="F53" s="26"/>
      <c r="G53" s="26"/>
      <c r="H53" s="30"/>
      <c r="I53" s="4"/>
      <c r="J53" s="26"/>
      <c r="K53" s="26"/>
      <c r="L53" s="30"/>
      <c r="M53" s="4"/>
      <c r="N53" s="26"/>
      <c r="O53" s="26"/>
      <c r="P53" s="30">
        <v>1</v>
      </c>
      <c r="Q53" s="4"/>
      <c r="R53" s="26"/>
      <c r="S53" s="26"/>
      <c r="T53" s="30"/>
      <c r="U53" s="4"/>
      <c r="V53" s="26"/>
      <c r="W53" s="26"/>
      <c r="X53" s="30"/>
      <c r="Y53" s="4"/>
      <c r="Z53" s="26"/>
      <c r="AA53" s="26"/>
      <c r="AB53" s="30"/>
      <c r="AC53" s="4"/>
      <c r="AD53" s="26"/>
      <c r="AE53" s="26"/>
      <c r="AF53" s="30"/>
      <c r="AG53" s="4"/>
      <c r="AH53" s="26"/>
      <c r="AI53" s="26"/>
      <c r="AJ53" s="26"/>
      <c r="AK53" s="30"/>
      <c r="AL53" s="4"/>
      <c r="AM53" s="26"/>
      <c r="AN53" s="26"/>
      <c r="AO53" s="30">
        <v>1</v>
      </c>
      <c r="AP53" s="4"/>
      <c r="AQ53" s="26"/>
      <c r="AR53" s="26"/>
      <c r="AS53" s="30"/>
      <c r="AT53" s="4"/>
      <c r="AU53" s="26"/>
      <c r="AV53" s="26"/>
      <c r="AW53" s="30"/>
      <c r="AX53" s="4"/>
      <c r="AY53" s="26"/>
      <c r="AZ53" s="26"/>
      <c r="BA53" s="30"/>
      <c r="BB53" s="26"/>
      <c r="BC53" s="26"/>
      <c r="BD53" s="26"/>
      <c r="BE53" s="6"/>
      <c r="BG53" s="1">
        <f t="shared" si="0"/>
        <v>2</v>
      </c>
    </row>
    <row r="54" spans="2:59" ht="15.75" customHeight="1" x14ac:dyDescent="0.25">
      <c r="B54" s="19" t="s">
        <v>112</v>
      </c>
      <c r="C54" s="5" t="s">
        <v>277</v>
      </c>
      <c r="D54" s="18" t="s">
        <v>114</v>
      </c>
      <c r="E54" s="4"/>
      <c r="F54" s="26"/>
      <c r="G54" s="26"/>
      <c r="H54" s="30"/>
      <c r="I54" s="4"/>
      <c r="J54" s="26"/>
      <c r="K54" s="26"/>
      <c r="L54" s="30">
        <v>1</v>
      </c>
      <c r="M54" s="4"/>
      <c r="N54" s="26"/>
      <c r="O54" s="26"/>
      <c r="P54" s="30"/>
      <c r="Q54" s="4"/>
      <c r="R54" s="26"/>
      <c r="S54" s="26"/>
      <c r="T54" s="30"/>
      <c r="U54" s="4"/>
      <c r="V54" s="26"/>
      <c r="W54" s="26"/>
      <c r="X54" s="30"/>
      <c r="Y54" s="4"/>
      <c r="Z54" s="26"/>
      <c r="AA54" s="26"/>
      <c r="AB54" s="30"/>
      <c r="AC54" s="4"/>
      <c r="AD54" s="26"/>
      <c r="AE54" s="26"/>
      <c r="AF54" s="30"/>
      <c r="AG54" s="4"/>
      <c r="AH54" s="26"/>
      <c r="AI54" s="26">
        <v>1</v>
      </c>
      <c r="AJ54" s="26"/>
      <c r="AK54" s="30"/>
      <c r="AL54" s="4"/>
      <c r="AM54" s="26"/>
      <c r="AN54" s="26"/>
      <c r="AO54" s="30"/>
      <c r="AP54" s="4"/>
      <c r="AQ54" s="26"/>
      <c r="AR54" s="26"/>
      <c r="AS54" s="30"/>
      <c r="AT54" s="4"/>
      <c r="AU54" s="26"/>
      <c r="AV54" s="26"/>
      <c r="AW54" s="30"/>
      <c r="AX54" s="4"/>
      <c r="AY54" s="26"/>
      <c r="AZ54" s="26"/>
      <c r="BA54" s="30"/>
      <c r="BB54" s="26"/>
      <c r="BC54" s="26"/>
      <c r="BD54" s="26"/>
      <c r="BE54" s="6"/>
      <c r="BG54" s="1">
        <f t="shared" si="0"/>
        <v>2</v>
      </c>
    </row>
    <row r="55" spans="2:59" ht="15.75" customHeight="1" x14ac:dyDescent="0.25">
      <c r="B55" s="17" t="s">
        <v>109</v>
      </c>
      <c r="C55" s="5" t="s">
        <v>278</v>
      </c>
      <c r="D55" s="18" t="s">
        <v>111</v>
      </c>
      <c r="E55" s="4"/>
      <c r="F55" s="26"/>
      <c r="G55" s="26">
        <v>1</v>
      </c>
      <c r="H55" s="30"/>
      <c r="I55" s="4"/>
      <c r="J55" s="26"/>
      <c r="K55" s="26"/>
      <c r="L55" s="30"/>
      <c r="M55" s="4"/>
      <c r="N55" s="26"/>
      <c r="O55" s="26"/>
      <c r="P55" s="30"/>
      <c r="Q55" s="4"/>
      <c r="R55" s="26"/>
      <c r="S55" s="26"/>
      <c r="T55" s="30"/>
      <c r="U55" s="4"/>
      <c r="V55" s="26"/>
      <c r="W55" s="26"/>
      <c r="X55" s="30"/>
      <c r="Y55" s="4"/>
      <c r="Z55" s="26"/>
      <c r="AA55" s="26"/>
      <c r="AB55" s="30"/>
      <c r="AC55" s="4"/>
      <c r="AD55" s="26"/>
      <c r="AE55" s="26"/>
      <c r="AF55" s="30">
        <v>1</v>
      </c>
      <c r="AG55" s="4"/>
      <c r="AH55" s="26"/>
      <c r="AI55" s="26"/>
      <c r="AJ55" s="26"/>
      <c r="AK55" s="30"/>
      <c r="AL55" s="4"/>
      <c r="AM55" s="26"/>
      <c r="AN55" s="26"/>
      <c r="AO55" s="30"/>
      <c r="AP55" s="4"/>
      <c r="AQ55" s="26"/>
      <c r="AR55" s="26"/>
      <c r="AS55" s="30"/>
      <c r="AT55" s="4"/>
      <c r="AU55" s="26"/>
      <c r="AV55" s="26"/>
      <c r="AW55" s="30"/>
      <c r="AX55" s="4"/>
      <c r="AY55" s="26"/>
      <c r="AZ55" s="26"/>
      <c r="BA55" s="30"/>
      <c r="BB55" s="26"/>
      <c r="BC55" s="26"/>
      <c r="BD55" s="26"/>
      <c r="BE55" s="6"/>
      <c r="BG55" s="1">
        <f t="shared" si="0"/>
        <v>2</v>
      </c>
    </row>
    <row r="56" spans="2:59" ht="15.75" customHeight="1" x14ac:dyDescent="0.25">
      <c r="B56" s="19" t="s">
        <v>106</v>
      </c>
      <c r="C56" s="5" t="s">
        <v>279</v>
      </c>
      <c r="D56" s="18" t="s">
        <v>108</v>
      </c>
      <c r="E56" s="4"/>
      <c r="F56" s="26"/>
      <c r="G56" s="26"/>
      <c r="H56" s="30"/>
      <c r="I56" s="4"/>
      <c r="J56" s="26"/>
      <c r="K56" s="26"/>
      <c r="L56" s="30"/>
      <c r="M56" s="4"/>
      <c r="N56" s="26"/>
      <c r="O56" s="26"/>
      <c r="P56" s="30"/>
      <c r="Q56" s="4"/>
      <c r="R56" s="26"/>
      <c r="S56" s="26"/>
      <c r="T56" s="30"/>
      <c r="U56" s="4"/>
      <c r="V56" s="26"/>
      <c r="W56" s="26"/>
      <c r="X56" s="30"/>
      <c r="Y56" s="4"/>
      <c r="Z56" s="26"/>
      <c r="AA56" s="26"/>
      <c r="AB56" s="30">
        <v>1</v>
      </c>
      <c r="AC56" s="4"/>
      <c r="AD56" s="26"/>
      <c r="AE56" s="26"/>
      <c r="AF56" s="30"/>
      <c r="AG56" s="4"/>
      <c r="AH56" s="26"/>
      <c r="AI56" s="26"/>
      <c r="AJ56" s="26"/>
      <c r="AK56" s="30"/>
      <c r="AL56" s="4"/>
      <c r="AM56" s="26"/>
      <c r="AN56" s="26"/>
      <c r="AO56" s="30"/>
      <c r="AP56" s="4"/>
      <c r="AQ56" s="26"/>
      <c r="AR56" s="26"/>
      <c r="AS56" s="30"/>
      <c r="AT56" s="4"/>
      <c r="AU56" s="26"/>
      <c r="AV56" s="26"/>
      <c r="AW56" s="30"/>
      <c r="AX56" s="4"/>
      <c r="AY56" s="26">
        <v>1</v>
      </c>
      <c r="AZ56" s="26"/>
      <c r="BA56" s="30"/>
      <c r="BB56" s="26"/>
      <c r="BC56" s="26"/>
      <c r="BD56" s="26"/>
      <c r="BE56" s="6"/>
      <c r="BG56" s="1">
        <f t="shared" si="0"/>
        <v>2</v>
      </c>
    </row>
    <row r="57" spans="2:59" ht="15.75" customHeight="1" thickBot="1" x14ac:dyDescent="0.3">
      <c r="B57" s="20" t="s">
        <v>103</v>
      </c>
      <c r="C57" s="21" t="s">
        <v>280</v>
      </c>
      <c r="D57" s="22" t="s">
        <v>105</v>
      </c>
      <c r="E57" s="27"/>
      <c r="F57" s="28"/>
      <c r="G57" s="28"/>
      <c r="H57" s="31"/>
      <c r="I57" s="27"/>
      <c r="J57" s="28"/>
      <c r="K57" s="28">
        <v>1</v>
      </c>
      <c r="L57" s="31"/>
      <c r="M57" s="27"/>
      <c r="N57" s="28"/>
      <c r="O57" s="28"/>
      <c r="P57" s="31"/>
      <c r="Q57" s="27"/>
      <c r="R57" s="28"/>
      <c r="S57" s="28"/>
      <c r="T57" s="31"/>
      <c r="U57" s="27"/>
      <c r="V57" s="28"/>
      <c r="W57" s="28"/>
      <c r="X57" s="31">
        <v>1</v>
      </c>
      <c r="Y57" s="27"/>
      <c r="Z57" s="28"/>
      <c r="AA57" s="28"/>
      <c r="AB57" s="31"/>
      <c r="AC57" s="27"/>
      <c r="AD57" s="28"/>
      <c r="AE57" s="28"/>
      <c r="AF57" s="31"/>
      <c r="AG57" s="27"/>
      <c r="AH57" s="28">
        <v>1</v>
      </c>
      <c r="AI57" s="28"/>
      <c r="AJ57" s="28"/>
      <c r="AK57" s="31"/>
      <c r="AL57" s="27"/>
      <c r="AM57" s="28"/>
      <c r="AN57" s="28"/>
      <c r="AO57" s="31"/>
      <c r="AP57" s="27"/>
      <c r="AQ57" s="28"/>
      <c r="AR57" s="28"/>
      <c r="AS57" s="31"/>
      <c r="AT57" s="27"/>
      <c r="AU57" s="28"/>
      <c r="AV57" s="28">
        <v>1</v>
      </c>
      <c r="AW57" s="31"/>
      <c r="AX57" s="27"/>
      <c r="AY57" s="28"/>
      <c r="AZ57" s="28"/>
      <c r="BA57" s="31"/>
      <c r="BB57" s="26"/>
      <c r="BC57" s="26"/>
      <c r="BD57" s="26">
        <v>1</v>
      </c>
      <c r="BE57" s="6"/>
      <c r="BG57" s="1">
        <f t="shared" si="0"/>
        <v>5</v>
      </c>
    </row>
    <row r="58" spans="2:59" ht="15.75" customHeight="1" x14ac:dyDescent="0.25">
      <c r="H58" s="1"/>
      <c r="L58" s="1"/>
      <c r="P58" s="1"/>
      <c r="T58" s="1"/>
      <c r="U58" s="1"/>
      <c r="Y58" s="1"/>
      <c r="AC58" s="1"/>
      <c r="AO58" s="1"/>
      <c r="AS58" s="1"/>
      <c r="BA58" s="1"/>
      <c r="BE58" s="1"/>
    </row>
    <row r="59" spans="2:59" ht="15.75" customHeight="1" x14ac:dyDescent="0.25">
      <c r="D59" s="3" t="s">
        <v>281</v>
      </c>
      <c r="E59" s="1">
        <f t="shared" ref="E59:T59" si="1">COUNT(E4:E58)</f>
        <v>0</v>
      </c>
      <c r="F59" s="1">
        <f t="shared" si="1"/>
        <v>4</v>
      </c>
      <c r="G59" s="1">
        <f t="shared" si="1"/>
        <v>8</v>
      </c>
      <c r="H59" s="1">
        <f t="shared" si="1"/>
        <v>11</v>
      </c>
      <c r="I59" s="1">
        <f t="shared" si="1"/>
        <v>0</v>
      </c>
      <c r="J59" s="1">
        <f t="shared" si="1"/>
        <v>4</v>
      </c>
      <c r="K59" s="1">
        <f t="shared" si="1"/>
        <v>6</v>
      </c>
      <c r="L59" s="1">
        <f t="shared" si="1"/>
        <v>10</v>
      </c>
      <c r="M59" s="1">
        <f t="shared" si="1"/>
        <v>1</v>
      </c>
      <c r="N59" s="1">
        <f t="shared" si="1"/>
        <v>7</v>
      </c>
      <c r="O59" s="1">
        <f t="shared" si="1"/>
        <v>3</v>
      </c>
      <c r="P59" s="1">
        <f t="shared" si="1"/>
        <v>6</v>
      </c>
      <c r="Q59" s="1">
        <f t="shared" si="1"/>
        <v>0</v>
      </c>
      <c r="R59" s="1">
        <f t="shared" si="1"/>
        <v>8</v>
      </c>
      <c r="S59" s="1">
        <f t="shared" si="1"/>
        <v>6</v>
      </c>
      <c r="T59" s="1">
        <f t="shared" si="1"/>
        <v>6</v>
      </c>
      <c r="U59" s="1">
        <f>COUNT(U4:U58)</f>
        <v>0</v>
      </c>
      <c r="V59" s="1">
        <f>COUNT(V4:V58)</f>
        <v>8</v>
      </c>
      <c r="W59" s="1">
        <f>COUNT(W4:W58)</f>
        <v>0</v>
      </c>
      <c r="X59" s="1">
        <f t="shared" ref="X59:BA59" si="2">COUNT(X4:X58)</f>
        <v>7</v>
      </c>
      <c r="Y59" s="1">
        <f t="shared" si="2"/>
        <v>0</v>
      </c>
      <c r="Z59" s="1">
        <f t="shared" si="2"/>
        <v>3</v>
      </c>
      <c r="AA59" s="1">
        <f t="shared" ref="AA59:AF59" si="3">COUNT(AA4:AA58)</f>
        <v>4</v>
      </c>
      <c r="AB59" s="1">
        <f t="shared" si="3"/>
        <v>6</v>
      </c>
      <c r="AC59" s="1">
        <f t="shared" si="3"/>
        <v>1</v>
      </c>
      <c r="AD59" s="1">
        <f t="shared" si="3"/>
        <v>0</v>
      </c>
      <c r="AE59" s="1">
        <f t="shared" si="3"/>
        <v>12</v>
      </c>
      <c r="AF59" s="1">
        <f t="shared" si="3"/>
        <v>7</v>
      </c>
      <c r="AG59" s="1">
        <f t="shared" si="2"/>
        <v>0</v>
      </c>
      <c r="AH59" s="1">
        <f t="shared" si="2"/>
        <v>4</v>
      </c>
      <c r="AI59" s="1">
        <f t="shared" si="2"/>
        <v>4</v>
      </c>
      <c r="AJ59" s="1">
        <f t="shared" si="2"/>
        <v>5</v>
      </c>
      <c r="AK59" s="1">
        <f t="shared" si="2"/>
        <v>5</v>
      </c>
      <c r="AL59" s="1">
        <f t="shared" si="2"/>
        <v>0</v>
      </c>
      <c r="AM59" s="1">
        <f t="shared" si="2"/>
        <v>2</v>
      </c>
      <c r="AN59" s="1">
        <f t="shared" si="2"/>
        <v>0</v>
      </c>
      <c r="AO59" s="1">
        <f>COUNT(AO4:AO58)</f>
        <v>10</v>
      </c>
      <c r="AP59" s="1">
        <f t="shared" si="2"/>
        <v>0</v>
      </c>
      <c r="AQ59" s="1">
        <f t="shared" si="2"/>
        <v>6</v>
      </c>
      <c r="AR59" s="1">
        <f t="shared" si="2"/>
        <v>4</v>
      </c>
      <c r="AS59" s="1">
        <f>COUNT(AS4:AS58)</f>
        <v>12</v>
      </c>
      <c r="AT59" s="1">
        <f t="shared" si="2"/>
        <v>2</v>
      </c>
      <c r="AU59" s="1">
        <f t="shared" si="2"/>
        <v>2</v>
      </c>
      <c r="AV59" s="1">
        <f>COUNT(AV4:AV58)</f>
        <v>5</v>
      </c>
      <c r="AW59" s="1">
        <f t="shared" si="2"/>
        <v>8</v>
      </c>
      <c r="AX59" s="1">
        <f t="shared" si="2"/>
        <v>3</v>
      </c>
      <c r="AY59" s="1">
        <f t="shared" si="2"/>
        <v>6</v>
      </c>
      <c r="AZ59" s="1">
        <f>COUNT(AZ4:AZ58)</f>
        <v>4</v>
      </c>
      <c r="BA59" s="1">
        <f t="shared" si="2"/>
        <v>9</v>
      </c>
      <c r="BB59" s="1">
        <f>COUNT(BB4:BB58)</f>
        <v>1</v>
      </c>
      <c r="BC59" s="1">
        <f>COUNT(BC4:BC58)</f>
        <v>5</v>
      </c>
      <c r="BD59" s="1">
        <f>COUNT(BD4:BD58)</f>
        <v>4</v>
      </c>
      <c r="BE59" s="1">
        <f>COUNT(BE4:BE58)</f>
        <v>5</v>
      </c>
      <c r="BG59" s="1">
        <f>SUM(BG4:BG58)</f>
        <v>234</v>
      </c>
    </row>
    <row r="60" spans="2:59" ht="15.75" customHeight="1" x14ac:dyDescent="0.25">
      <c r="H60" s="1"/>
      <c r="L60" s="1"/>
      <c r="P60" s="1"/>
      <c r="T60" s="1"/>
      <c r="U60" s="1"/>
      <c r="Y60" s="1"/>
      <c r="AC60" s="1"/>
      <c r="AO60" s="1"/>
      <c r="AS60" s="1"/>
      <c r="BA60" s="1"/>
      <c r="BE60" s="1"/>
    </row>
    <row r="61" spans="2:59" ht="15.75" customHeight="1" x14ac:dyDescent="0.25">
      <c r="H61" s="1"/>
      <c r="L61" s="1"/>
      <c r="P61" s="1"/>
      <c r="T61" s="1"/>
      <c r="U61" s="1"/>
      <c r="Y61" s="1"/>
      <c r="AC61" s="1"/>
      <c r="AO61" s="1"/>
      <c r="AS61" s="1"/>
      <c r="BA61" s="1"/>
      <c r="BE61" s="1"/>
    </row>
    <row r="62" spans="2:59" ht="15.75" customHeight="1" x14ac:dyDescent="0.25">
      <c r="F62" s="1">
        <f t="shared" ref="F62" si="4">SUM(E59:H59)</f>
        <v>23</v>
      </c>
      <c r="H62" s="1"/>
      <c r="J62" s="1">
        <f t="shared" ref="J62" si="5">SUM(I59:L59)</f>
        <v>20</v>
      </c>
      <c r="L62" s="1"/>
      <c r="N62" s="1">
        <f t="shared" ref="N62" si="6">SUM(M59:P59)</f>
        <v>17</v>
      </c>
      <c r="P62" s="1"/>
      <c r="R62" s="1">
        <f t="shared" ref="R62" si="7">SUM(Q59:T59)</f>
        <v>20</v>
      </c>
      <c r="T62" s="1"/>
      <c r="U62" s="1"/>
      <c r="W62" s="2"/>
      <c r="X62" s="1">
        <f>SUM(U59:X59)</f>
        <v>15</v>
      </c>
      <c r="Y62" s="1"/>
      <c r="Z62" s="2"/>
      <c r="AB62" s="1">
        <f>SUM(Y59:AB59)</f>
        <v>13</v>
      </c>
      <c r="AC62" s="1"/>
      <c r="AD62" s="2"/>
      <c r="AF62" s="1">
        <f>SUM(AC59:AF59)</f>
        <v>20</v>
      </c>
      <c r="AH62" s="2"/>
      <c r="AJ62" s="1">
        <f>SUM(AG59:AK59)</f>
        <v>18</v>
      </c>
      <c r="AM62" s="1">
        <f>SUM(AL59:AO59)</f>
        <v>12</v>
      </c>
      <c r="AO62" s="1"/>
      <c r="AQ62" s="1">
        <f>SUM(AP59:AS59)</f>
        <v>22</v>
      </c>
      <c r="AS62" s="1"/>
      <c r="AU62" s="1">
        <f>SUM(AT59:AW59)</f>
        <v>17</v>
      </c>
      <c r="AY62" s="1">
        <f>SUM(AX59:BA59)</f>
        <v>22</v>
      </c>
      <c r="BA62" s="1"/>
      <c r="BE62" s="1"/>
    </row>
    <row r="63" spans="2:59" ht="15.75" customHeight="1" x14ac:dyDescent="0.25">
      <c r="H63" s="1"/>
      <c r="L63" s="1"/>
      <c r="P63" s="1"/>
      <c r="T63" s="1"/>
      <c r="U63" s="1"/>
      <c r="Y63" s="1"/>
      <c r="AC63" s="1"/>
      <c r="AO63" s="1"/>
      <c r="AS63" s="1"/>
      <c r="BA63" s="1"/>
      <c r="BE63" s="1"/>
    </row>
    <row r="64" spans="2:59" ht="15.75" customHeight="1" x14ac:dyDescent="0.25">
      <c r="H64" s="1"/>
      <c r="L64" s="1"/>
      <c r="P64" s="1"/>
      <c r="T64" s="1"/>
      <c r="U64" s="1"/>
      <c r="Y64" s="1"/>
      <c r="AC64" s="1"/>
      <c r="AE64" s="1">
        <f>+X62+AB62+AF62+AJ62+AM62</f>
        <v>78</v>
      </c>
      <c r="AO64" s="1"/>
      <c r="AS64" s="1"/>
      <c r="BA64" s="1"/>
      <c r="BE64" s="1"/>
    </row>
    <row r="65" spans="8:57" ht="15.75" customHeight="1" x14ac:dyDescent="0.25">
      <c r="H65" s="1"/>
      <c r="L65" s="1"/>
      <c r="P65" s="1"/>
      <c r="T65" s="1"/>
      <c r="U65" s="1"/>
      <c r="Y65" s="1"/>
      <c r="AC65" s="1"/>
      <c r="AO65" s="1"/>
      <c r="AS65" s="1"/>
      <c r="BA65" s="1"/>
      <c r="BE65" s="1"/>
    </row>
    <row r="66" spans="8:57" ht="15.75" customHeight="1" x14ac:dyDescent="0.25">
      <c r="H66" s="1"/>
      <c r="L66" s="1"/>
      <c r="P66" s="1"/>
      <c r="T66" s="1"/>
      <c r="U66" s="1"/>
      <c r="Y66" s="1"/>
      <c r="AC66" s="1"/>
      <c r="AO66" s="1"/>
      <c r="AS66" s="1"/>
      <c r="BA66" s="1"/>
      <c r="BE66" s="1"/>
    </row>
    <row r="67" spans="8:57" ht="15.75" customHeight="1" x14ac:dyDescent="0.25">
      <c r="H67" s="1"/>
      <c r="L67" s="1"/>
      <c r="P67" s="1"/>
      <c r="T67" s="1"/>
      <c r="U67" s="1"/>
      <c r="Y67" s="1"/>
      <c r="AC67" s="1"/>
      <c r="AO67" s="1"/>
      <c r="AS67" s="1"/>
      <c r="BA67" s="1"/>
      <c r="BE67" s="1"/>
    </row>
    <row r="68" spans="8:57" ht="15.75" customHeight="1" x14ac:dyDescent="0.25">
      <c r="H68" s="1"/>
      <c r="L68" s="1"/>
      <c r="P68" s="1"/>
      <c r="T68" s="1"/>
      <c r="U68" s="1"/>
      <c r="Y68" s="1"/>
      <c r="AC68" s="1"/>
      <c r="AO68" s="1"/>
      <c r="AS68" s="1"/>
      <c r="BA68" s="1"/>
      <c r="BE68" s="1"/>
    </row>
    <row r="69" spans="8:57" ht="15.75" customHeight="1" x14ac:dyDescent="0.25">
      <c r="H69" s="1"/>
      <c r="L69" s="1"/>
      <c r="P69" s="1"/>
      <c r="T69" s="1"/>
      <c r="U69" s="1"/>
      <c r="Y69" s="1"/>
      <c r="AC69" s="1"/>
      <c r="AO69" s="1"/>
      <c r="AS69" s="1"/>
      <c r="BA69" s="1"/>
      <c r="BE69" s="1"/>
    </row>
    <row r="70" spans="8:57" ht="15.75" customHeight="1" x14ac:dyDescent="0.25">
      <c r="H70" s="1"/>
      <c r="L70" s="1"/>
      <c r="P70" s="1"/>
      <c r="T70" s="1"/>
      <c r="U70" s="1"/>
      <c r="Y70" s="1"/>
      <c r="AC70" s="1"/>
      <c r="AO70" s="1"/>
      <c r="AS70" s="1"/>
      <c r="BA70" s="1"/>
      <c r="BE70" s="1"/>
    </row>
    <row r="71" spans="8:57" ht="15.75" customHeight="1" x14ac:dyDescent="0.25">
      <c r="H71" s="1"/>
      <c r="L71" s="1"/>
      <c r="P71" s="1"/>
      <c r="T71" s="1"/>
      <c r="U71" s="1"/>
      <c r="Y71" s="1"/>
      <c r="AC71" s="1"/>
      <c r="AO71" s="1"/>
      <c r="AS71" s="1"/>
      <c r="BA71" s="1"/>
      <c r="BE71" s="1"/>
    </row>
    <row r="72" spans="8:57" ht="15.75" customHeight="1" x14ac:dyDescent="0.25">
      <c r="H72" s="1"/>
      <c r="L72" s="1"/>
      <c r="P72" s="1"/>
      <c r="T72" s="1"/>
      <c r="U72" s="1"/>
      <c r="Y72" s="1"/>
      <c r="AC72" s="1"/>
      <c r="AO72" s="1"/>
      <c r="AS72" s="1"/>
      <c r="BA72" s="1"/>
      <c r="BE72" s="1"/>
    </row>
    <row r="73" spans="8:57" ht="15.75" customHeight="1" x14ac:dyDescent="0.25">
      <c r="H73" s="1"/>
      <c r="L73" s="1"/>
      <c r="P73" s="1"/>
      <c r="T73" s="1"/>
      <c r="U73" s="1"/>
      <c r="Y73" s="1"/>
      <c r="AC73" s="1"/>
      <c r="AO73" s="1"/>
      <c r="AS73" s="1"/>
      <c r="BA73" s="1"/>
      <c r="BE73" s="1"/>
    </row>
    <row r="74" spans="8:57" ht="15.75" customHeight="1" x14ac:dyDescent="0.25">
      <c r="H74" s="1"/>
      <c r="L74" s="1"/>
      <c r="P74" s="1"/>
      <c r="T74" s="1"/>
      <c r="U74" s="1"/>
      <c r="Y74" s="1"/>
      <c r="AC74" s="1"/>
      <c r="AO74" s="1"/>
      <c r="AS74" s="1"/>
      <c r="BA74" s="1"/>
      <c r="BE74" s="1"/>
    </row>
    <row r="75" spans="8:57" ht="15.75" customHeight="1" x14ac:dyDescent="0.25">
      <c r="H75" s="1"/>
      <c r="L75" s="1"/>
      <c r="P75" s="1"/>
      <c r="T75" s="1"/>
      <c r="U75" s="1"/>
      <c r="Y75" s="1"/>
      <c r="AC75" s="1"/>
      <c r="AO75" s="1"/>
      <c r="AS75" s="1"/>
      <c r="BA75" s="1"/>
      <c r="BE75" s="1"/>
    </row>
    <row r="76" spans="8:57" ht="15.75" customHeight="1" x14ac:dyDescent="0.25">
      <c r="H76" s="1"/>
      <c r="L76" s="1"/>
      <c r="P76" s="1"/>
      <c r="T76" s="1"/>
      <c r="U76" s="1"/>
      <c r="Y76" s="1"/>
      <c r="AC76" s="1"/>
      <c r="AO76" s="1"/>
      <c r="AS76" s="1"/>
      <c r="BA76" s="1"/>
      <c r="BE76" s="1"/>
    </row>
    <row r="77" spans="8:57" ht="15.75" customHeight="1" x14ac:dyDescent="0.25">
      <c r="H77" s="1"/>
      <c r="L77" s="1"/>
      <c r="P77" s="1"/>
      <c r="T77" s="1"/>
      <c r="U77" s="1"/>
      <c r="Y77" s="1"/>
      <c r="AC77" s="1"/>
      <c r="AO77" s="1"/>
      <c r="AS77" s="1"/>
      <c r="BA77" s="1"/>
      <c r="BE77" s="1"/>
    </row>
    <row r="78" spans="8:57" ht="15.75" customHeight="1" x14ac:dyDescent="0.25">
      <c r="H78" s="1"/>
      <c r="L78" s="1"/>
      <c r="P78" s="1"/>
      <c r="T78" s="1"/>
      <c r="U78" s="1"/>
      <c r="Y78" s="1"/>
      <c r="AC78" s="1"/>
      <c r="AO78" s="1"/>
      <c r="AS78" s="1"/>
      <c r="BA78" s="1"/>
      <c r="BE78" s="1"/>
    </row>
    <row r="79" spans="8:57" ht="15.75" customHeight="1" x14ac:dyDescent="0.25">
      <c r="H79" s="1"/>
      <c r="L79" s="1"/>
      <c r="P79" s="1"/>
      <c r="T79" s="1"/>
      <c r="U79" s="1"/>
      <c r="Y79" s="1"/>
      <c r="AC79" s="1"/>
      <c r="AO79" s="1"/>
      <c r="AS79" s="1"/>
      <c r="BA79" s="1"/>
      <c r="BE79" s="1"/>
    </row>
    <row r="80" spans="8:57" ht="15.75" customHeight="1" x14ac:dyDescent="0.25">
      <c r="H80" s="1"/>
      <c r="L80" s="1"/>
      <c r="P80" s="1"/>
      <c r="T80" s="1"/>
      <c r="U80" s="1"/>
      <c r="Y80" s="1"/>
      <c r="AC80" s="1"/>
      <c r="AO80" s="1"/>
      <c r="AS80" s="1"/>
      <c r="BA80" s="1"/>
      <c r="BE80" s="1"/>
    </row>
    <row r="81" spans="8:57" ht="15.75" customHeight="1" x14ac:dyDescent="0.25">
      <c r="H81" s="1"/>
      <c r="L81" s="1"/>
      <c r="P81" s="1"/>
      <c r="T81" s="1"/>
      <c r="U81" s="1"/>
      <c r="Y81" s="1"/>
      <c r="AC81" s="1"/>
      <c r="AO81" s="1"/>
      <c r="AS81" s="1"/>
      <c r="BA81" s="1"/>
      <c r="BE81" s="1"/>
    </row>
    <row r="82" spans="8:57" ht="15.75" customHeight="1" x14ac:dyDescent="0.25">
      <c r="H82" s="1"/>
      <c r="L82" s="1"/>
      <c r="P82" s="1"/>
      <c r="T82" s="1"/>
      <c r="U82" s="1"/>
      <c r="Y82" s="1"/>
      <c r="AC82" s="1"/>
      <c r="AO82" s="1"/>
      <c r="AS82" s="1"/>
      <c r="BA82" s="1"/>
      <c r="BE82" s="1"/>
    </row>
    <row r="83" spans="8:57" ht="15.75" customHeight="1" x14ac:dyDescent="0.25">
      <c r="H83" s="1"/>
      <c r="L83" s="1"/>
      <c r="P83" s="1"/>
      <c r="T83" s="1"/>
      <c r="U83" s="1"/>
      <c r="Y83" s="1"/>
      <c r="AC83" s="1"/>
      <c r="AO83" s="1"/>
      <c r="AS83" s="1"/>
      <c r="BA83" s="1"/>
      <c r="BE83" s="1"/>
    </row>
    <row r="84" spans="8:57" ht="15.75" customHeight="1" x14ac:dyDescent="0.25">
      <c r="H84" s="1"/>
      <c r="L84" s="1"/>
      <c r="P84" s="1"/>
      <c r="T84" s="1"/>
      <c r="U84" s="1"/>
      <c r="Y84" s="1"/>
      <c r="AC84" s="1"/>
      <c r="AO84" s="1"/>
      <c r="AS84" s="1"/>
      <c r="BA84" s="1"/>
      <c r="BE84" s="1"/>
    </row>
    <row r="85" spans="8:57" ht="15.75" customHeight="1" x14ac:dyDescent="0.25">
      <c r="H85" s="1"/>
      <c r="L85" s="1"/>
      <c r="P85" s="1"/>
      <c r="T85" s="1"/>
      <c r="U85" s="1"/>
      <c r="Y85" s="1"/>
      <c r="AC85" s="1"/>
      <c r="AO85" s="1"/>
      <c r="AS85" s="1"/>
      <c r="BA85" s="1"/>
      <c r="BE85" s="1"/>
    </row>
    <row r="86" spans="8:57" ht="15.75" customHeight="1" x14ac:dyDescent="0.25">
      <c r="H86" s="1"/>
      <c r="L86" s="1"/>
      <c r="P86" s="1"/>
      <c r="T86" s="1"/>
      <c r="U86" s="1"/>
      <c r="Y86" s="1"/>
      <c r="AC86" s="1"/>
      <c r="AO86" s="1"/>
      <c r="AS86" s="1"/>
      <c r="BA86" s="1"/>
      <c r="BE86" s="1"/>
    </row>
    <row r="87" spans="8:57" ht="15.75" customHeight="1" x14ac:dyDescent="0.25">
      <c r="H87" s="1"/>
      <c r="L87" s="1"/>
      <c r="P87" s="1"/>
      <c r="T87" s="1"/>
      <c r="U87" s="1"/>
      <c r="Y87" s="1"/>
      <c r="AC87" s="1"/>
      <c r="AO87" s="1"/>
      <c r="AS87" s="1"/>
      <c r="BA87" s="1"/>
      <c r="BE87" s="1"/>
    </row>
    <row r="88" spans="8:57" ht="15.75" customHeight="1" x14ac:dyDescent="0.25">
      <c r="H88" s="1"/>
      <c r="L88" s="1"/>
      <c r="P88" s="1"/>
      <c r="T88" s="1"/>
      <c r="U88" s="1"/>
      <c r="Y88" s="1"/>
      <c r="AC88" s="1"/>
      <c r="AO88" s="1"/>
      <c r="AS88" s="1"/>
      <c r="BA88" s="1"/>
      <c r="BE88" s="1"/>
    </row>
    <row r="89" spans="8:57" ht="15.75" customHeight="1" x14ac:dyDescent="0.25">
      <c r="H89" s="1"/>
      <c r="L89" s="1"/>
      <c r="P89" s="1"/>
      <c r="T89" s="1"/>
      <c r="U89" s="1"/>
      <c r="Y89" s="1"/>
      <c r="AC89" s="1"/>
      <c r="AO89" s="1"/>
      <c r="AS89" s="1"/>
      <c r="BA89" s="1"/>
      <c r="BE89" s="1"/>
    </row>
    <row r="90" spans="8:57" ht="15.75" customHeight="1" x14ac:dyDescent="0.25">
      <c r="H90" s="1"/>
      <c r="L90" s="1"/>
      <c r="P90" s="1"/>
      <c r="T90" s="1"/>
      <c r="U90" s="1"/>
      <c r="Y90" s="1"/>
      <c r="AC90" s="1"/>
      <c r="AO90" s="1"/>
      <c r="AS90" s="1"/>
      <c r="BA90" s="1"/>
      <c r="BE90" s="1"/>
    </row>
    <row r="91" spans="8:57" ht="15.75" customHeight="1" x14ac:dyDescent="0.25">
      <c r="H91" s="1"/>
      <c r="L91" s="1"/>
      <c r="P91" s="1"/>
      <c r="T91" s="1"/>
      <c r="U91" s="1"/>
      <c r="Y91" s="1"/>
      <c r="AC91" s="1"/>
      <c r="AO91" s="1"/>
      <c r="AS91" s="1"/>
      <c r="BA91" s="1"/>
      <c r="BE91" s="1"/>
    </row>
    <row r="92" spans="8:57" ht="15.75" customHeight="1" x14ac:dyDescent="0.25">
      <c r="H92" s="1"/>
      <c r="L92" s="1"/>
      <c r="P92" s="1"/>
      <c r="T92" s="1"/>
      <c r="U92" s="1"/>
      <c r="Y92" s="1"/>
      <c r="AC92" s="1"/>
      <c r="AO92" s="1"/>
      <c r="AS92" s="1"/>
      <c r="BA92" s="1"/>
      <c r="BE92" s="1"/>
    </row>
    <row r="93" spans="8:57" ht="15.75" customHeight="1" x14ac:dyDescent="0.25">
      <c r="H93" s="1"/>
      <c r="L93" s="1"/>
      <c r="P93" s="1"/>
      <c r="T93" s="1"/>
      <c r="U93" s="1"/>
      <c r="Y93" s="1"/>
      <c r="AC93" s="1"/>
      <c r="AO93" s="1"/>
      <c r="AS93" s="1"/>
      <c r="BA93" s="1"/>
      <c r="BE93" s="1"/>
    </row>
    <row r="94" spans="8:57" ht="15.75" customHeight="1" x14ac:dyDescent="0.25">
      <c r="H94" s="1"/>
      <c r="L94" s="1"/>
      <c r="P94" s="1"/>
      <c r="T94" s="1"/>
      <c r="U94" s="1"/>
      <c r="Y94" s="1"/>
      <c r="AC94" s="1"/>
      <c r="AO94" s="1"/>
      <c r="AS94" s="1"/>
      <c r="BA94" s="1"/>
      <c r="BE94" s="1"/>
    </row>
    <row r="95" spans="8:57" ht="15.75" customHeight="1" x14ac:dyDescent="0.25">
      <c r="H95" s="1"/>
      <c r="L95" s="1"/>
      <c r="P95" s="1"/>
      <c r="T95" s="1"/>
      <c r="U95" s="1"/>
      <c r="Y95" s="1"/>
      <c r="AC95" s="1"/>
      <c r="AO95" s="1"/>
      <c r="AS95" s="1"/>
      <c r="BA95" s="1"/>
      <c r="BE95" s="1"/>
    </row>
    <row r="96" spans="8:57" ht="15.75" customHeight="1" x14ac:dyDescent="0.25">
      <c r="H96" s="1"/>
      <c r="L96" s="1"/>
      <c r="P96" s="1"/>
      <c r="T96" s="1"/>
      <c r="U96" s="1"/>
      <c r="Y96" s="1"/>
      <c r="AC96" s="1"/>
      <c r="AO96" s="1"/>
      <c r="AS96" s="1"/>
      <c r="BA96" s="1"/>
      <c r="BE96" s="1"/>
    </row>
    <row r="97" spans="8:57" ht="15.75" customHeight="1" x14ac:dyDescent="0.25">
      <c r="H97" s="1"/>
      <c r="L97" s="1"/>
      <c r="P97" s="1"/>
      <c r="T97" s="1"/>
      <c r="U97" s="1"/>
      <c r="Y97" s="1"/>
      <c r="AC97" s="1"/>
      <c r="AO97" s="1"/>
      <c r="AS97" s="1"/>
      <c r="BA97" s="1"/>
      <c r="BE97" s="1"/>
    </row>
    <row r="98" spans="8:57" ht="15.75" customHeight="1" x14ac:dyDescent="0.25">
      <c r="H98" s="1"/>
      <c r="L98" s="1"/>
      <c r="P98" s="1"/>
      <c r="T98" s="1"/>
      <c r="U98" s="1"/>
      <c r="Y98" s="1"/>
      <c r="AC98" s="1"/>
      <c r="AO98" s="1"/>
      <c r="AS98" s="1"/>
      <c r="BA98" s="1"/>
      <c r="BE98" s="1"/>
    </row>
    <row r="99" spans="8:57" ht="15.75" customHeight="1" x14ac:dyDescent="0.25">
      <c r="H99" s="1"/>
      <c r="L99" s="1"/>
      <c r="P99" s="1"/>
      <c r="T99" s="1"/>
      <c r="U99" s="1"/>
      <c r="Y99" s="1"/>
      <c r="AC99" s="1"/>
      <c r="AO99" s="1"/>
      <c r="AS99" s="1"/>
      <c r="BA99" s="1"/>
      <c r="BE99" s="1"/>
    </row>
    <row r="100" spans="8:57" ht="15.75" customHeight="1" x14ac:dyDescent="0.25">
      <c r="H100" s="1"/>
      <c r="L100" s="1"/>
      <c r="P100" s="1"/>
      <c r="T100" s="1"/>
      <c r="U100" s="1"/>
      <c r="Y100" s="1"/>
      <c r="AC100" s="1"/>
      <c r="AO100" s="1"/>
      <c r="AS100" s="1"/>
      <c r="BA100" s="1"/>
      <c r="BE100" s="1"/>
    </row>
    <row r="101" spans="8:57" ht="15.75" customHeight="1" x14ac:dyDescent="0.25">
      <c r="H101" s="1"/>
      <c r="L101" s="1"/>
      <c r="P101" s="1"/>
      <c r="T101" s="1"/>
      <c r="U101" s="1"/>
      <c r="Y101" s="1"/>
      <c r="AC101" s="1"/>
      <c r="AO101" s="1"/>
      <c r="AS101" s="1"/>
      <c r="BA101" s="1"/>
      <c r="BE101" s="1"/>
    </row>
    <row r="102" spans="8:57" ht="15.75" customHeight="1" x14ac:dyDescent="0.25">
      <c r="H102" s="1"/>
      <c r="L102" s="1"/>
      <c r="P102" s="1"/>
      <c r="T102" s="1"/>
      <c r="U102" s="1"/>
      <c r="Y102" s="1"/>
      <c r="AC102" s="1"/>
      <c r="AO102" s="1"/>
      <c r="AS102" s="1"/>
      <c r="BA102" s="1"/>
      <c r="BE102" s="1"/>
    </row>
    <row r="103" spans="8:57" ht="15.75" customHeight="1" x14ac:dyDescent="0.25">
      <c r="H103" s="1"/>
      <c r="L103" s="1"/>
      <c r="P103" s="1"/>
      <c r="T103" s="1"/>
      <c r="U103" s="1"/>
      <c r="Y103" s="1"/>
      <c r="AC103" s="1"/>
      <c r="AO103" s="1"/>
      <c r="AS103" s="1"/>
      <c r="BA103" s="1"/>
      <c r="BE103" s="1"/>
    </row>
    <row r="104" spans="8:57" ht="15.75" customHeight="1" x14ac:dyDescent="0.25">
      <c r="H104" s="1"/>
      <c r="L104" s="1"/>
      <c r="P104" s="1"/>
      <c r="T104" s="1"/>
      <c r="U104" s="1"/>
      <c r="Y104" s="1"/>
      <c r="AC104" s="1"/>
      <c r="AO104" s="1"/>
      <c r="AS104" s="1"/>
      <c r="BA104" s="1"/>
      <c r="BE104" s="1"/>
    </row>
    <row r="105" spans="8:57" ht="15.75" customHeight="1" x14ac:dyDescent="0.25">
      <c r="H105" s="1"/>
      <c r="L105" s="1"/>
      <c r="P105" s="1"/>
      <c r="T105" s="1"/>
      <c r="U105" s="1"/>
      <c r="Y105" s="1"/>
      <c r="AC105" s="1"/>
      <c r="AO105" s="1"/>
      <c r="AS105" s="1"/>
      <c r="BA105" s="1"/>
      <c r="BE105" s="1"/>
    </row>
    <row r="106" spans="8:57" ht="15.75" customHeight="1" x14ac:dyDescent="0.25">
      <c r="H106" s="1"/>
      <c r="L106" s="1"/>
      <c r="P106" s="1"/>
      <c r="T106" s="1"/>
      <c r="U106" s="1"/>
      <c r="Y106" s="1"/>
      <c r="AC106" s="1"/>
      <c r="AO106" s="1"/>
      <c r="AS106" s="1"/>
      <c r="BA106" s="1"/>
      <c r="BE106" s="1"/>
    </row>
    <row r="107" spans="8:57" ht="15.75" customHeight="1" x14ac:dyDescent="0.25">
      <c r="H107" s="1"/>
      <c r="L107" s="1"/>
      <c r="P107" s="1"/>
      <c r="T107" s="1"/>
      <c r="U107" s="1"/>
      <c r="Y107" s="1"/>
      <c r="AC107" s="1"/>
      <c r="AO107" s="1"/>
      <c r="AS107" s="1"/>
      <c r="BA107" s="1"/>
      <c r="BE107" s="1"/>
    </row>
    <row r="108" spans="8:57" ht="15.75" customHeight="1" x14ac:dyDescent="0.25">
      <c r="H108" s="1"/>
      <c r="L108" s="1"/>
      <c r="P108" s="1"/>
      <c r="T108" s="1"/>
      <c r="U108" s="1"/>
      <c r="Y108" s="1"/>
      <c r="AC108" s="1"/>
      <c r="AO108" s="1"/>
      <c r="AS108" s="1"/>
      <c r="BA108" s="1"/>
      <c r="BE108" s="1"/>
    </row>
    <row r="109" spans="8:57" ht="15.75" customHeight="1" x14ac:dyDescent="0.25">
      <c r="H109" s="1"/>
      <c r="L109" s="1"/>
      <c r="P109" s="1"/>
      <c r="T109" s="1"/>
      <c r="U109" s="1"/>
      <c r="Y109" s="1"/>
      <c r="AC109" s="1"/>
      <c r="AO109" s="1"/>
      <c r="AS109" s="1"/>
      <c r="BA109" s="1"/>
      <c r="BE109" s="1"/>
    </row>
    <row r="110" spans="8:57" ht="15.75" customHeight="1" x14ac:dyDescent="0.25">
      <c r="H110" s="1"/>
      <c r="L110" s="1"/>
      <c r="P110" s="1"/>
      <c r="T110" s="1"/>
      <c r="U110" s="1"/>
      <c r="Y110" s="1"/>
      <c r="AC110" s="1"/>
      <c r="AO110" s="1"/>
      <c r="AS110" s="1"/>
      <c r="BA110" s="1"/>
      <c r="BE110" s="1"/>
    </row>
    <row r="111" spans="8:57" ht="15.75" customHeight="1" x14ac:dyDescent="0.25">
      <c r="H111" s="1"/>
      <c r="L111" s="1"/>
      <c r="P111" s="1"/>
      <c r="T111" s="1"/>
      <c r="U111" s="1"/>
      <c r="Y111" s="1"/>
      <c r="AC111" s="1"/>
      <c r="AO111" s="1"/>
      <c r="AS111" s="1"/>
      <c r="BA111" s="1"/>
      <c r="BE111" s="1"/>
    </row>
    <row r="112" spans="8:57" ht="15.75" customHeight="1" x14ac:dyDescent="0.25">
      <c r="H112" s="1"/>
      <c r="L112" s="1"/>
      <c r="P112" s="1"/>
      <c r="T112" s="1"/>
      <c r="U112" s="1"/>
      <c r="Y112" s="1"/>
      <c r="AC112" s="1"/>
      <c r="AO112" s="1"/>
      <c r="AS112" s="1"/>
      <c r="BA112" s="1"/>
      <c r="BE112" s="1"/>
    </row>
    <row r="113" spans="8:57" ht="15.75" customHeight="1" x14ac:dyDescent="0.25">
      <c r="H113" s="1"/>
      <c r="L113" s="1"/>
      <c r="P113" s="1"/>
      <c r="T113" s="1"/>
      <c r="U113" s="1"/>
      <c r="Y113" s="1"/>
      <c r="AC113" s="1"/>
      <c r="AO113" s="1"/>
      <c r="AS113" s="1"/>
      <c r="BA113" s="1"/>
      <c r="BE113" s="1"/>
    </row>
    <row r="114" spans="8:57" ht="15.75" customHeight="1" x14ac:dyDescent="0.25">
      <c r="H114" s="1"/>
      <c r="L114" s="1"/>
      <c r="P114" s="1"/>
      <c r="T114" s="1"/>
      <c r="U114" s="1"/>
      <c r="Y114" s="1"/>
      <c r="AC114" s="1"/>
      <c r="AO114" s="1"/>
      <c r="AS114" s="1"/>
      <c r="BA114" s="1"/>
      <c r="BE114" s="1"/>
    </row>
    <row r="115" spans="8:57" ht="15.75" customHeight="1" x14ac:dyDescent="0.25">
      <c r="H115" s="1"/>
      <c r="L115" s="1"/>
      <c r="P115" s="1"/>
      <c r="T115" s="1"/>
      <c r="U115" s="1"/>
      <c r="Y115" s="1"/>
      <c r="AC115" s="1"/>
      <c r="AO115" s="1"/>
      <c r="AS115" s="1"/>
      <c r="BA115" s="1"/>
      <c r="BE115" s="1"/>
    </row>
    <row r="116" spans="8:57" ht="15.75" customHeight="1" x14ac:dyDescent="0.25">
      <c r="H116" s="1"/>
      <c r="L116" s="1"/>
      <c r="P116" s="1"/>
      <c r="T116" s="1"/>
      <c r="U116" s="1"/>
      <c r="Y116" s="1"/>
      <c r="AC116" s="1"/>
      <c r="AO116" s="1"/>
      <c r="AS116" s="1"/>
      <c r="BA116" s="1"/>
      <c r="BE116" s="1"/>
    </row>
    <row r="117" spans="8:57" ht="15.75" customHeight="1" x14ac:dyDescent="0.25">
      <c r="H117" s="1"/>
      <c r="L117" s="1"/>
      <c r="P117" s="1"/>
      <c r="T117" s="1"/>
      <c r="U117" s="1"/>
      <c r="Y117" s="1"/>
      <c r="AC117" s="1"/>
      <c r="AO117" s="1"/>
      <c r="AS117" s="1"/>
      <c r="BA117" s="1"/>
      <c r="BE117" s="1"/>
    </row>
    <row r="118" spans="8:57" ht="15.75" customHeight="1" x14ac:dyDescent="0.25">
      <c r="H118" s="1"/>
      <c r="L118" s="1"/>
      <c r="P118" s="1"/>
      <c r="T118" s="1"/>
      <c r="U118" s="1"/>
      <c r="Y118" s="1"/>
      <c r="AC118" s="1"/>
      <c r="AO118" s="1"/>
      <c r="AS118" s="1"/>
      <c r="BA118" s="1"/>
      <c r="BE118" s="1"/>
    </row>
    <row r="119" spans="8:57" ht="15.75" customHeight="1" x14ac:dyDescent="0.25">
      <c r="H119" s="1"/>
      <c r="L119" s="1"/>
      <c r="P119" s="1"/>
      <c r="T119" s="1"/>
      <c r="U119" s="1"/>
      <c r="Y119" s="1"/>
      <c r="AC119" s="1"/>
      <c r="AO119" s="1"/>
      <c r="AS119" s="1"/>
      <c r="BA119" s="1"/>
      <c r="BE119" s="1"/>
    </row>
    <row r="120" spans="8:57" ht="15.75" customHeight="1" x14ac:dyDescent="0.25">
      <c r="H120" s="1"/>
      <c r="L120" s="1"/>
      <c r="P120" s="1"/>
      <c r="T120" s="1"/>
      <c r="U120" s="1"/>
      <c r="Y120" s="1"/>
      <c r="AC120" s="1"/>
      <c r="AO120" s="1"/>
      <c r="AS120" s="1"/>
      <c r="BA120" s="1"/>
      <c r="BE120" s="1"/>
    </row>
    <row r="121" spans="8:57" ht="15.75" customHeight="1" x14ac:dyDescent="0.25">
      <c r="H121" s="1"/>
      <c r="L121" s="1"/>
      <c r="P121" s="1"/>
      <c r="T121" s="1"/>
      <c r="U121" s="1"/>
      <c r="Y121" s="1"/>
      <c r="AC121" s="1"/>
      <c r="AO121" s="1"/>
      <c r="AS121" s="1"/>
      <c r="BA121" s="1"/>
      <c r="BE121" s="1"/>
    </row>
    <row r="122" spans="8:57" ht="15.75" customHeight="1" x14ac:dyDescent="0.25">
      <c r="H122" s="1"/>
      <c r="L122" s="1"/>
      <c r="P122" s="1"/>
      <c r="T122" s="1"/>
      <c r="U122" s="1"/>
      <c r="Y122" s="1"/>
      <c r="AC122" s="1"/>
      <c r="AO122" s="1"/>
      <c r="AS122" s="1"/>
      <c r="BA122" s="1"/>
      <c r="BE122" s="1"/>
    </row>
    <row r="123" spans="8:57" ht="15.75" customHeight="1" x14ac:dyDescent="0.25">
      <c r="H123" s="1"/>
      <c r="L123" s="1"/>
      <c r="P123" s="1"/>
      <c r="T123" s="1"/>
      <c r="U123" s="1"/>
      <c r="Y123" s="1"/>
      <c r="AC123" s="1"/>
      <c r="AO123" s="1"/>
      <c r="AS123" s="1"/>
      <c r="BA123" s="1"/>
      <c r="BE123" s="1"/>
    </row>
    <row r="124" spans="8:57" ht="15.75" customHeight="1" x14ac:dyDescent="0.25">
      <c r="H124" s="1"/>
      <c r="L124" s="1"/>
      <c r="P124" s="1"/>
      <c r="T124" s="1"/>
      <c r="U124" s="1"/>
      <c r="Y124" s="1"/>
      <c r="AC124" s="1"/>
      <c r="AO124" s="1"/>
      <c r="AS124" s="1"/>
      <c r="BA124" s="1"/>
      <c r="BE124" s="1"/>
    </row>
    <row r="125" spans="8:57" ht="15.75" customHeight="1" x14ac:dyDescent="0.25">
      <c r="H125" s="1"/>
      <c r="L125" s="1"/>
      <c r="P125" s="1"/>
      <c r="T125" s="1"/>
      <c r="U125" s="1"/>
      <c r="Y125" s="1"/>
      <c r="AC125" s="1"/>
      <c r="AO125" s="1"/>
      <c r="AS125" s="1"/>
      <c r="BA125" s="1"/>
      <c r="BE125" s="1"/>
    </row>
    <row r="126" spans="8:57" ht="15.75" customHeight="1" x14ac:dyDescent="0.25">
      <c r="H126" s="1"/>
      <c r="L126" s="1"/>
      <c r="P126" s="1"/>
      <c r="T126" s="1"/>
      <c r="U126" s="1"/>
      <c r="Y126" s="1"/>
      <c r="AC126" s="1"/>
      <c r="AO126" s="1"/>
      <c r="AS126" s="1"/>
      <c r="BA126" s="1"/>
      <c r="BE126" s="1"/>
    </row>
    <row r="127" spans="8:57" ht="15.75" customHeight="1" x14ac:dyDescent="0.25">
      <c r="H127" s="1"/>
      <c r="L127" s="1"/>
      <c r="P127" s="1"/>
      <c r="T127" s="1"/>
      <c r="U127" s="1"/>
      <c r="Y127" s="1"/>
      <c r="AC127" s="1"/>
      <c r="AO127" s="1"/>
      <c r="AS127" s="1"/>
      <c r="BA127" s="1"/>
      <c r="BE127" s="1"/>
    </row>
    <row r="128" spans="8:57" ht="15.75" customHeight="1" x14ac:dyDescent="0.25">
      <c r="H128" s="1"/>
      <c r="L128" s="1"/>
      <c r="P128" s="1"/>
      <c r="T128" s="1"/>
      <c r="U128" s="1"/>
      <c r="Y128" s="1"/>
      <c r="AC128" s="1"/>
      <c r="AO128" s="1"/>
      <c r="AS128" s="1"/>
      <c r="BA128" s="1"/>
      <c r="BE128" s="1"/>
    </row>
    <row r="129" spans="8:57" ht="15.75" customHeight="1" x14ac:dyDescent="0.25">
      <c r="H129" s="1"/>
      <c r="L129" s="1"/>
      <c r="P129" s="1"/>
      <c r="T129" s="1"/>
      <c r="U129" s="1"/>
      <c r="Y129" s="1"/>
      <c r="AC129" s="1"/>
      <c r="AO129" s="1"/>
      <c r="AS129" s="1"/>
      <c r="BA129" s="1"/>
      <c r="BE129" s="1"/>
    </row>
    <row r="130" spans="8:57" ht="15.75" customHeight="1" x14ac:dyDescent="0.25">
      <c r="H130" s="1"/>
      <c r="L130" s="1"/>
      <c r="P130" s="1"/>
      <c r="T130" s="1"/>
      <c r="U130" s="1"/>
      <c r="Y130" s="1"/>
      <c r="AC130" s="1"/>
      <c r="AO130" s="1"/>
      <c r="AS130" s="1"/>
      <c r="BA130" s="1"/>
      <c r="BE130" s="1"/>
    </row>
    <row r="131" spans="8:57" ht="15.75" customHeight="1" x14ac:dyDescent="0.25">
      <c r="H131" s="1"/>
      <c r="L131" s="1"/>
      <c r="P131" s="1"/>
      <c r="T131" s="1"/>
      <c r="U131" s="1"/>
      <c r="Y131" s="1"/>
      <c r="AC131" s="1"/>
      <c r="AO131" s="1"/>
      <c r="AS131" s="1"/>
      <c r="BA131" s="1"/>
      <c r="BE131" s="1"/>
    </row>
    <row r="132" spans="8:57" ht="15.75" customHeight="1" x14ac:dyDescent="0.25">
      <c r="H132" s="1"/>
      <c r="L132" s="1"/>
      <c r="P132" s="1"/>
      <c r="T132" s="1"/>
      <c r="U132" s="1"/>
      <c r="Y132" s="1"/>
      <c r="AC132" s="1"/>
      <c r="AO132" s="1"/>
      <c r="AS132" s="1"/>
      <c r="BA132" s="1"/>
      <c r="BE132" s="1"/>
    </row>
    <row r="133" spans="8:57" ht="15.75" customHeight="1" x14ac:dyDescent="0.25">
      <c r="H133" s="1"/>
      <c r="L133" s="1"/>
      <c r="P133" s="1"/>
      <c r="T133" s="1"/>
      <c r="U133" s="1"/>
      <c r="Y133" s="1"/>
      <c r="AC133" s="1"/>
      <c r="AO133" s="1"/>
      <c r="AS133" s="1"/>
      <c r="BA133" s="1"/>
      <c r="BE133" s="1"/>
    </row>
    <row r="134" spans="8:57" ht="15.75" customHeight="1" x14ac:dyDescent="0.25">
      <c r="H134" s="1"/>
      <c r="L134" s="1"/>
      <c r="P134" s="1"/>
      <c r="T134" s="1"/>
      <c r="U134" s="1"/>
      <c r="Y134" s="1"/>
      <c r="AC134" s="1"/>
      <c r="AO134" s="1"/>
      <c r="AS134" s="1"/>
      <c r="BA134" s="1"/>
      <c r="BE134" s="1"/>
    </row>
    <row r="135" spans="8:57" ht="15.75" customHeight="1" x14ac:dyDescent="0.25">
      <c r="H135" s="1"/>
      <c r="L135" s="1"/>
      <c r="P135" s="1"/>
      <c r="T135" s="1"/>
      <c r="U135" s="1"/>
      <c r="Y135" s="1"/>
      <c r="AC135" s="1"/>
      <c r="AO135" s="1"/>
      <c r="AS135" s="1"/>
      <c r="BA135" s="1"/>
      <c r="BE135" s="1"/>
    </row>
    <row r="136" spans="8:57" ht="15.75" customHeight="1" x14ac:dyDescent="0.25">
      <c r="H136" s="1"/>
      <c r="L136" s="1"/>
      <c r="P136" s="1"/>
      <c r="T136" s="1"/>
      <c r="U136" s="1"/>
      <c r="Y136" s="1"/>
      <c r="AC136" s="1"/>
      <c r="AO136" s="1"/>
      <c r="AS136" s="1"/>
      <c r="BA136" s="1"/>
      <c r="BE136" s="1"/>
    </row>
    <row r="137" spans="8:57" ht="15.75" customHeight="1" x14ac:dyDescent="0.25">
      <c r="H137" s="1"/>
      <c r="L137" s="1"/>
      <c r="P137" s="1"/>
      <c r="T137" s="1"/>
      <c r="U137" s="1"/>
      <c r="Y137" s="1"/>
      <c r="AC137" s="1"/>
      <c r="AO137" s="1"/>
      <c r="AS137" s="1"/>
      <c r="BA137" s="1"/>
      <c r="BE137" s="1"/>
    </row>
    <row r="138" spans="8:57" ht="15.75" customHeight="1" x14ac:dyDescent="0.25">
      <c r="H138" s="1"/>
      <c r="L138" s="1"/>
      <c r="P138" s="1"/>
      <c r="T138" s="1"/>
      <c r="U138" s="1"/>
      <c r="Y138" s="1"/>
      <c r="AC138" s="1"/>
      <c r="AO138" s="1"/>
      <c r="AS138" s="1"/>
      <c r="BA138" s="1"/>
      <c r="BE138" s="1"/>
    </row>
    <row r="139" spans="8:57" ht="15.75" customHeight="1" x14ac:dyDescent="0.25">
      <c r="H139" s="1"/>
      <c r="L139" s="1"/>
      <c r="P139" s="1"/>
      <c r="T139" s="1"/>
      <c r="U139" s="1"/>
      <c r="Y139" s="1"/>
      <c r="AC139" s="1"/>
      <c r="AO139" s="1"/>
      <c r="AS139" s="1"/>
      <c r="BA139" s="1"/>
      <c r="BE139" s="1"/>
    </row>
    <row r="140" spans="8:57" ht="15.75" customHeight="1" x14ac:dyDescent="0.25">
      <c r="H140" s="1"/>
      <c r="L140" s="1"/>
      <c r="P140" s="1"/>
      <c r="T140" s="1"/>
      <c r="U140" s="1"/>
      <c r="Y140" s="1"/>
      <c r="AC140" s="1"/>
      <c r="AO140" s="1"/>
      <c r="AS140" s="1"/>
      <c r="BA140" s="1"/>
      <c r="BE140" s="1"/>
    </row>
    <row r="141" spans="8:57" ht="15.75" customHeight="1" x14ac:dyDescent="0.25">
      <c r="H141" s="1"/>
      <c r="L141" s="1"/>
      <c r="P141" s="1"/>
      <c r="T141" s="1"/>
      <c r="U141" s="1"/>
      <c r="Y141" s="1"/>
      <c r="AC141" s="1"/>
      <c r="AO141" s="1"/>
      <c r="AS141" s="1"/>
      <c r="BA141" s="1"/>
      <c r="BE141" s="1"/>
    </row>
    <row r="142" spans="8:57" ht="15.75" customHeight="1" x14ac:dyDescent="0.25">
      <c r="H142" s="1"/>
      <c r="L142" s="1"/>
      <c r="P142" s="1"/>
      <c r="T142" s="1"/>
      <c r="U142" s="1"/>
      <c r="Y142" s="1"/>
      <c r="AC142" s="1"/>
      <c r="AO142" s="1"/>
      <c r="AS142" s="1"/>
      <c r="BA142" s="1"/>
      <c r="BE142" s="1"/>
    </row>
    <row r="143" spans="8:57" ht="15.75" customHeight="1" x14ac:dyDescent="0.25">
      <c r="H143" s="1"/>
      <c r="L143" s="1"/>
      <c r="P143" s="1"/>
      <c r="T143" s="1"/>
      <c r="U143" s="1"/>
      <c r="Y143" s="1"/>
      <c r="AC143" s="1"/>
      <c r="AO143" s="1"/>
      <c r="AS143" s="1"/>
      <c r="BA143" s="1"/>
      <c r="BE143" s="1"/>
    </row>
    <row r="144" spans="8:57" ht="15.75" customHeight="1" x14ac:dyDescent="0.25">
      <c r="H144" s="1"/>
      <c r="L144" s="1"/>
      <c r="P144" s="1"/>
      <c r="T144" s="1"/>
      <c r="U144" s="1"/>
      <c r="Y144" s="1"/>
      <c r="AC144" s="1"/>
      <c r="AO144" s="1"/>
      <c r="AS144" s="1"/>
      <c r="BA144" s="1"/>
      <c r="BE144" s="1"/>
    </row>
    <row r="145" spans="8:57" ht="15.75" customHeight="1" x14ac:dyDescent="0.25">
      <c r="H145" s="1"/>
      <c r="L145" s="1"/>
      <c r="P145" s="1"/>
      <c r="T145" s="1"/>
      <c r="U145" s="1"/>
      <c r="Y145" s="1"/>
      <c r="AC145" s="1"/>
      <c r="AO145" s="1"/>
      <c r="AS145" s="1"/>
      <c r="BA145" s="1"/>
      <c r="BE145" s="1"/>
    </row>
    <row r="146" spans="8:57" ht="15.75" customHeight="1" x14ac:dyDescent="0.25">
      <c r="H146" s="1"/>
      <c r="L146" s="1"/>
      <c r="P146" s="1"/>
      <c r="T146" s="1"/>
      <c r="U146" s="1"/>
      <c r="Y146" s="1"/>
      <c r="AC146" s="1"/>
      <c r="AO146" s="1"/>
      <c r="AS146" s="1"/>
      <c r="BA146" s="1"/>
      <c r="BE146" s="1"/>
    </row>
    <row r="147" spans="8:57" ht="15.75" customHeight="1" x14ac:dyDescent="0.25">
      <c r="H147" s="1"/>
      <c r="L147" s="1"/>
      <c r="P147" s="1"/>
      <c r="T147" s="1"/>
      <c r="U147" s="1"/>
      <c r="Y147" s="1"/>
      <c r="AC147" s="1"/>
      <c r="AO147" s="1"/>
      <c r="AS147" s="1"/>
      <c r="BA147" s="1"/>
      <c r="BE147" s="1"/>
    </row>
    <row r="148" spans="8:57" ht="15.75" customHeight="1" x14ac:dyDescent="0.25">
      <c r="H148" s="1"/>
      <c r="L148" s="1"/>
      <c r="P148" s="1"/>
      <c r="T148" s="1"/>
      <c r="U148" s="1"/>
      <c r="Y148" s="1"/>
      <c r="AC148" s="1"/>
      <c r="AO148" s="1"/>
      <c r="AS148" s="1"/>
      <c r="BA148" s="1"/>
      <c r="BE148" s="1"/>
    </row>
    <row r="149" spans="8:57" ht="15.75" customHeight="1" x14ac:dyDescent="0.25">
      <c r="H149" s="1"/>
      <c r="L149" s="1"/>
      <c r="P149" s="1"/>
      <c r="T149" s="1"/>
      <c r="U149" s="1"/>
      <c r="Y149" s="1"/>
      <c r="AC149" s="1"/>
      <c r="AO149" s="1"/>
      <c r="AS149" s="1"/>
      <c r="BA149" s="1"/>
      <c r="BE149" s="1"/>
    </row>
    <row r="150" spans="8:57" ht="15.75" customHeight="1" x14ac:dyDescent="0.25">
      <c r="H150" s="1"/>
      <c r="L150" s="1"/>
      <c r="P150" s="1"/>
      <c r="T150" s="1"/>
      <c r="U150" s="1"/>
      <c r="Y150" s="1"/>
      <c r="AC150" s="1"/>
      <c r="AO150" s="1"/>
      <c r="AS150" s="1"/>
      <c r="BA150" s="1"/>
      <c r="BE150" s="1"/>
    </row>
    <row r="151" spans="8:57" ht="15.75" customHeight="1" x14ac:dyDescent="0.25">
      <c r="H151" s="1"/>
      <c r="L151" s="1"/>
      <c r="P151" s="1"/>
      <c r="T151" s="1"/>
      <c r="U151" s="1"/>
      <c r="Y151" s="1"/>
      <c r="AC151" s="1"/>
      <c r="AO151" s="1"/>
      <c r="AS151" s="1"/>
      <c r="BA151" s="1"/>
      <c r="BE151" s="1"/>
    </row>
    <row r="152" spans="8:57" ht="15.75" customHeight="1" x14ac:dyDescent="0.25">
      <c r="H152" s="1"/>
      <c r="L152" s="1"/>
      <c r="P152" s="1"/>
      <c r="T152" s="1"/>
      <c r="U152" s="1"/>
      <c r="Y152" s="1"/>
      <c r="AC152" s="1"/>
      <c r="AO152" s="1"/>
      <c r="AS152" s="1"/>
      <c r="BA152" s="1"/>
      <c r="BE152" s="1"/>
    </row>
    <row r="153" spans="8:57" ht="15.75" customHeight="1" x14ac:dyDescent="0.25">
      <c r="H153" s="1"/>
      <c r="L153" s="1"/>
      <c r="P153" s="1"/>
      <c r="T153" s="1"/>
      <c r="U153" s="1"/>
      <c r="Y153" s="1"/>
      <c r="AC153" s="1"/>
      <c r="AO153" s="1"/>
      <c r="AS153" s="1"/>
      <c r="BA153" s="1"/>
      <c r="BE153" s="1"/>
    </row>
    <row r="154" spans="8:57" ht="15.75" customHeight="1" x14ac:dyDescent="0.25">
      <c r="H154" s="1"/>
      <c r="L154" s="1"/>
      <c r="P154" s="1"/>
      <c r="T154" s="1"/>
      <c r="U154" s="1"/>
      <c r="Y154" s="1"/>
      <c r="AC154" s="1"/>
      <c r="AO154" s="1"/>
      <c r="AS154" s="1"/>
      <c r="BA154" s="1"/>
      <c r="BE154" s="1"/>
    </row>
    <row r="155" spans="8:57" ht="15.75" customHeight="1" x14ac:dyDescent="0.25">
      <c r="H155" s="1"/>
      <c r="L155" s="1"/>
      <c r="P155" s="1"/>
      <c r="T155" s="1"/>
      <c r="U155" s="1"/>
      <c r="Y155" s="1"/>
      <c r="AC155" s="1"/>
      <c r="AO155" s="1"/>
      <c r="AS155" s="1"/>
      <c r="BA155" s="1"/>
      <c r="BE155" s="1"/>
    </row>
    <row r="156" spans="8:57" ht="15.75" customHeight="1" x14ac:dyDescent="0.25">
      <c r="H156" s="1"/>
      <c r="L156" s="1"/>
      <c r="P156" s="1"/>
      <c r="T156" s="1"/>
      <c r="U156" s="1"/>
      <c r="Y156" s="1"/>
      <c r="AC156" s="1"/>
      <c r="AO156" s="1"/>
      <c r="AS156" s="1"/>
      <c r="BA156" s="1"/>
      <c r="BE156" s="1"/>
    </row>
    <row r="157" spans="8:57" ht="15.75" customHeight="1" x14ac:dyDescent="0.25">
      <c r="H157" s="1"/>
      <c r="L157" s="1"/>
      <c r="P157" s="1"/>
      <c r="T157" s="1"/>
      <c r="U157" s="1"/>
      <c r="Y157" s="1"/>
      <c r="AC157" s="1"/>
      <c r="AO157" s="1"/>
      <c r="AS157" s="1"/>
      <c r="BA157" s="1"/>
      <c r="BE157" s="1"/>
    </row>
    <row r="158" spans="8:57" ht="15.75" customHeight="1" x14ac:dyDescent="0.25">
      <c r="H158" s="1"/>
      <c r="L158" s="1"/>
      <c r="P158" s="1"/>
      <c r="T158" s="1"/>
      <c r="U158" s="1"/>
      <c r="Y158" s="1"/>
      <c r="AC158" s="1"/>
      <c r="AO158" s="1"/>
      <c r="AS158" s="1"/>
      <c r="BA158" s="1"/>
      <c r="BE158" s="1"/>
    </row>
    <row r="159" spans="8:57" ht="15.75" customHeight="1" x14ac:dyDescent="0.25">
      <c r="H159" s="1"/>
      <c r="L159" s="1"/>
      <c r="P159" s="1"/>
      <c r="T159" s="1"/>
      <c r="U159" s="1"/>
      <c r="Y159" s="1"/>
      <c r="AC159" s="1"/>
      <c r="AO159" s="1"/>
      <c r="AS159" s="1"/>
      <c r="BA159" s="1"/>
      <c r="BE159" s="1"/>
    </row>
    <row r="160" spans="8:57" ht="15.75" customHeight="1" x14ac:dyDescent="0.25">
      <c r="H160" s="1"/>
      <c r="L160" s="1"/>
      <c r="P160" s="1"/>
      <c r="T160" s="1"/>
      <c r="U160" s="1"/>
      <c r="Y160" s="1"/>
      <c r="AC160" s="1"/>
      <c r="AO160" s="1"/>
      <c r="AS160" s="1"/>
      <c r="BA160" s="1"/>
      <c r="BE160" s="1"/>
    </row>
    <row r="161" spans="8:57" ht="15.75" customHeight="1" x14ac:dyDescent="0.25">
      <c r="H161" s="1"/>
      <c r="L161" s="1"/>
      <c r="P161" s="1"/>
      <c r="T161" s="1"/>
      <c r="U161" s="1"/>
      <c r="Y161" s="1"/>
      <c r="AC161" s="1"/>
      <c r="AO161" s="1"/>
      <c r="AS161" s="1"/>
      <c r="BA161" s="1"/>
      <c r="BE161" s="1"/>
    </row>
    <row r="162" spans="8:57" ht="15.75" customHeight="1" x14ac:dyDescent="0.25">
      <c r="H162" s="1"/>
      <c r="L162" s="1"/>
      <c r="P162" s="1"/>
      <c r="T162" s="1"/>
      <c r="U162" s="1"/>
      <c r="Y162" s="1"/>
      <c r="AC162" s="1"/>
      <c r="AO162" s="1"/>
      <c r="AS162" s="1"/>
      <c r="BA162" s="1"/>
      <c r="BE162" s="1"/>
    </row>
    <row r="163" spans="8:57" ht="15.75" customHeight="1" x14ac:dyDescent="0.25">
      <c r="H163" s="1"/>
      <c r="L163" s="1"/>
      <c r="P163" s="1"/>
      <c r="T163" s="1"/>
      <c r="U163" s="1"/>
      <c r="Y163" s="1"/>
      <c r="AC163" s="1"/>
      <c r="AO163" s="1"/>
      <c r="AS163" s="1"/>
      <c r="BA163" s="1"/>
      <c r="BE163" s="1"/>
    </row>
    <row r="164" spans="8:57" ht="15.75" customHeight="1" x14ac:dyDescent="0.25">
      <c r="H164" s="1"/>
      <c r="L164" s="1"/>
      <c r="P164" s="1"/>
      <c r="T164" s="1"/>
      <c r="U164" s="1"/>
      <c r="Y164" s="1"/>
      <c r="AC164" s="1"/>
      <c r="AO164" s="1"/>
      <c r="AS164" s="1"/>
      <c r="BA164" s="1"/>
      <c r="BE164" s="1"/>
    </row>
    <row r="165" spans="8:57" ht="15.75" customHeight="1" x14ac:dyDescent="0.25">
      <c r="H165" s="1"/>
      <c r="L165" s="1"/>
      <c r="P165" s="1"/>
      <c r="T165" s="1"/>
      <c r="U165" s="1"/>
      <c r="Y165" s="1"/>
      <c r="AC165" s="1"/>
      <c r="AO165" s="1"/>
      <c r="AS165" s="1"/>
      <c r="BA165" s="1"/>
      <c r="BE165" s="1"/>
    </row>
    <row r="166" spans="8:57" ht="15.75" customHeight="1" x14ac:dyDescent="0.25">
      <c r="H166" s="1"/>
      <c r="L166" s="1"/>
      <c r="P166" s="1"/>
      <c r="T166" s="1"/>
      <c r="U166" s="1"/>
      <c r="Y166" s="1"/>
      <c r="AC166" s="1"/>
      <c r="AO166" s="1"/>
      <c r="AS166" s="1"/>
      <c r="BA166" s="1"/>
      <c r="BE166" s="1"/>
    </row>
    <row r="167" spans="8:57" ht="15.75" customHeight="1" x14ac:dyDescent="0.25">
      <c r="H167" s="1"/>
      <c r="L167" s="1"/>
      <c r="P167" s="1"/>
      <c r="T167" s="1"/>
      <c r="U167" s="1"/>
      <c r="Y167" s="1"/>
      <c r="AC167" s="1"/>
      <c r="AO167" s="1"/>
      <c r="AS167" s="1"/>
      <c r="BA167" s="1"/>
      <c r="BE167" s="1"/>
    </row>
    <row r="168" spans="8:57" ht="15.75" customHeight="1" x14ac:dyDescent="0.25">
      <c r="H168" s="1"/>
      <c r="L168" s="1"/>
      <c r="P168" s="1"/>
      <c r="T168" s="1"/>
      <c r="U168" s="1"/>
      <c r="Y168" s="1"/>
      <c r="AC168" s="1"/>
      <c r="AO168" s="1"/>
      <c r="AS168" s="1"/>
      <c r="BA168" s="1"/>
      <c r="BE168" s="1"/>
    </row>
    <row r="169" spans="8:57" ht="15.75" customHeight="1" x14ac:dyDescent="0.25">
      <c r="H169" s="1"/>
      <c r="L169" s="1"/>
      <c r="P169" s="1"/>
      <c r="T169" s="1"/>
      <c r="U169" s="1"/>
      <c r="Y169" s="1"/>
      <c r="AC169" s="1"/>
      <c r="AO169" s="1"/>
      <c r="AS169" s="1"/>
      <c r="BA169" s="1"/>
      <c r="BE169" s="1"/>
    </row>
    <row r="170" spans="8:57" ht="15.75" customHeight="1" x14ac:dyDescent="0.25">
      <c r="H170" s="1"/>
      <c r="L170" s="1"/>
      <c r="P170" s="1"/>
      <c r="T170" s="1"/>
      <c r="U170" s="1"/>
      <c r="Y170" s="1"/>
      <c r="AC170" s="1"/>
      <c r="AO170" s="1"/>
      <c r="AS170" s="1"/>
      <c r="BA170" s="1"/>
      <c r="BE170" s="1"/>
    </row>
    <row r="171" spans="8:57" ht="15.75" customHeight="1" x14ac:dyDescent="0.25">
      <c r="H171" s="1"/>
      <c r="L171" s="1"/>
      <c r="P171" s="1"/>
      <c r="T171" s="1"/>
      <c r="U171" s="1"/>
      <c r="Y171" s="1"/>
      <c r="AC171" s="1"/>
      <c r="AO171" s="1"/>
      <c r="AS171" s="1"/>
      <c r="BA171" s="1"/>
      <c r="BE171" s="1"/>
    </row>
    <row r="172" spans="8:57" ht="15.75" customHeight="1" x14ac:dyDescent="0.25">
      <c r="H172" s="1"/>
      <c r="L172" s="1"/>
      <c r="P172" s="1"/>
      <c r="T172" s="1"/>
      <c r="U172" s="1"/>
      <c r="Y172" s="1"/>
      <c r="AC172" s="1"/>
      <c r="AO172" s="1"/>
      <c r="AS172" s="1"/>
      <c r="BA172" s="1"/>
      <c r="BE172" s="1"/>
    </row>
    <row r="173" spans="8:57" ht="15.75" customHeight="1" x14ac:dyDescent="0.25">
      <c r="H173" s="1"/>
      <c r="L173" s="1"/>
      <c r="P173" s="1"/>
      <c r="T173" s="1"/>
      <c r="U173" s="1"/>
      <c r="Y173" s="1"/>
      <c r="AC173" s="1"/>
      <c r="AO173" s="1"/>
      <c r="AS173" s="1"/>
      <c r="BA173" s="1"/>
      <c r="BE173" s="1"/>
    </row>
    <row r="174" spans="8:57" ht="15.75" customHeight="1" x14ac:dyDescent="0.25">
      <c r="H174" s="1"/>
      <c r="L174" s="1"/>
      <c r="P174" s="1"/>
      <c r="T174" s="1"/>
      <c r="U174" s="1"/>
      <c r="Y174" s="1"/>
      <c r="AC174" s="1"/>
      <c r="AO174" s="1"/>
      <c r="AS174" s="1"/>
      <c r="BA174" s="1"/>
      <c r="BE174" s="1"/>
    </row>
    <row r="175" spans="8:57" ht="15.75" customHeight="1" x14ac:dyDescent="0.25">
      <c r="H175" s="1"/>
      <c r="L175" s="1"/>
      <c r="P175" s="1"/>
      <c r="T175" s="1"/>
      <c r="U175" s="1"/>
      <c r="Y175" s="1"/>
      <c r="AC175" s="1"/>
      <c r="AO175" s="1"/>
      <c r="AS175" s="1"/>
      <c r="BA175" s="1"/>
      <c r="BE175" s="1"/>
    </row>
    <row r="176" spans="8:57" ht="15.75" customHeight="1" x14ac:dyDescent="0.25">
      <c r="H176" s="1"/>
      <c r="L176" s="1"/>
      <c r="P176" s="1"/>
      <c r="T176" s="1"/>
      <c r="U176" s="1"/>
      <c r="Y176" s="1"/>
      <c r="AC176" s="1"/>
      <c r="AO176" s="1"/>
      <c r="AS176" s="1"/>
      <c r="BA176" s="1"/>
      <c r="BE176" s="1"/>
    </row>
    <row r="177" spans="8:57" ht="15.75" customHeight="1" x14ac:dyDescent="0.25">
      <c r="H177" s="1"/>
      <c r="L177" s="1"/>
      <c r="P177" s="1"/>
      <c r="T177" s="1"/>
      <c r="U177" s="1"/>
      <c r="Y177" s="1"/>
      <c r="AC177" s="1"/>
      <c r="AO177" s="1"/>
      <c r="AS177" s="1"/>
      <c r="BA177" s="1"/>
      <c r="BE177" s="1"/>
    </row>
    <row r="178" spans="8:57" ht="15.75" customHeight="1" x14ac:dyDescent="0.25">
      <c r="H178" s="1"/>
      <c r="L178" s="1"/>
      <c r="P178" s="1"/>
      <c r="T178" s="1"/>
      <c r="U178" s="1"/>
      <c r="Y178" s="1"/>
      <c r="AC178" s="1"/>
      <c r="AO178" s="1"/>
      <c r="AS178" s="1"/>
      <c r="BA178" s="1"/>
      <c r="BE178" s="1"/>
    </row>
    <row r="179" spans="8:57" ht="15.75" customHeight="1" x14ac:dyDescent="0.25">
      <c r="H179" s="1"/>
      <c r="L179" s="1"/>
      <c r="P179" s="1"/>
      <c r="T179" s="1"/>
      <c r="U179" s="1"/>
      <c r="Y179" s="1"/>
      <c r="AC179" s="1"/>
      <c r="AO179" s="1"/>
      <c r="AS179" s="1"/>
      <c r="BA179" s="1"/>
      <c r="BE179" s="1"/>
    </row>
    <row r="180" spans="8:57" ht="15.75" customHeight="1" x14ac:dyDescent="0.25">
      <c r="H180" s="1"/>
      <c r="L180" s="1"/>
      <c r="P180" s="1"/>
      <c r="T180" s="1"/>
      <c r="U180" s="1"/>
      <c r="Y180" s="1"/>
      <c r="AC180" s="1"/>
      <c r="AO180" s="1"/>
      <c r="AS180" s="1"/>
      <c r="BA180" s="1"/>
      <c r="BE180" s="1"/>
    </row>
    <row r="181" spans="8:57" ht="15.75" customHeight="1" x14ac:dyDescent="0.25">
      <c r="H181" s="1"/>
      <c r="L181" s="1"/>
      <c r="P181" s="1"/>
      <c r="T181" s="1"/>
      <c r="U181" s="1"/>
      <c r="Y181" s="1"/>
      <c r="AC181" s="1"/>
      <c r="AO181" s="1"/>
      <c r="AS181" s="1"/>
      <c r="BA181" s="1"/>
      <c r="BE181" s="1"/>
    </row>
    <row r="182" spans="8:57" ht="15.75" customHeight="1" x14ac:dyDescent="0.25">
      <c r="H182" s="1"/>
      <c r="L182" s="1"/>
      <c r="P182" s="1"/>
      <c r="T182" s="1"/>
      <c r="U182" s="1"/>
      <c r="Y182" s="1"/>
      <c r="AC182" s="1"/>
      <c r="AO182" s="1"/>
      <c r="AS182" s="1"/>
      <c r="BA182" s="1"/>
      <c r="BE182" s="1"/>
    </row>
    <row r="183" spans="8:57" ht="15.75" customHeight="1" x14ac:dyDescent="0.25">
      <c r="H183" s="1"/>
      <c r="L183" s="1"/>
      <c r="P183" s="1"/>
      <c r="T183" s="1"/>
      <c r="U183" s="1"/>
      <c r="Y183" s="1"/>
      <c r="AC183" s="1"/>
      <c r="AO183" s="1"/>
      <c r="AS183" s="1"/>
      <c r="BA183" s="1"/>
      <c r="BE183" s="1"/>
    </row>
    <row r="184" spans="8:57" ht="15.75" customHeight="1" x14ac:dyDescent="0.25">
      <c r="H184" s="1"/>
      <c r="L184" s="1"/>
      <c r="P184" s="1"/>
      <c r="T184" s="1"/>
      <c r="U184" s="1"/>
      <c r="Y184" s="1"/>
      <c r="AC184" s="1"/>
      <c r="AO184" s="1"/>
      <c r="AS184" s="1"/>
      <c r="BA184" s="1"/>
      <c r="BE184" s="1"/>
    </row>
    <row r="185" spans="8:57" ht="15.75" customHeight="1" x14ac:dyDescent="0.25">
      <c r="H185" s="1"/>
      <c r="L185" s="1"/>
      <c r="P185" s="1"/>
      <c r="T185" s="1"/>
      <c r="U185" s="1"/>
      <c r="Y185" s="1"/>
      <c r="AC185" s="1"/>
      <c r="AO185" s="1"/>
      <c r="AS185" s="1"/>
      <c r="BA185" s="1"/>
      <c r="BE185" s="1"/>
    </row>
    <row r="186" spans="8:57" ht="15.75" customHeight="1" x14ac:dyDescent="0.25">
      <c r="H186" s="1"/>
      <c r="L186" s="1"/>
      <c r="P186" s="1"/>
      <c r="T186" s="1"/>
      <c r="U186" s="1"/>
      <c r="Y186" s="1"/>
      <c r="AC186" s="1"/>
      <c r="AO186" s="1"/>
      <c r="AS186" s="1"/>
      <c r="BA186" s="1"/>
      <c r="BE186" s="1"/>
    </row>
    <row r="187" spans="8:57" ht="15.75" customHeight="1" x14ac:dyDescent="0.25">
      <c r="H187" s="1"/>
      <c r="L187" s="1"/>
      <c r="P187" s="1"/>
      <c r="T187" s="1"/>
      <c r="U187" s="1"/>
      <c r="Y187" s="1"/>
      <c r="AC187" s="1"/>
      <c r="AO187" s="1"/>
      <c r="AS187" s="1"/>
      <c r="BA187" s="1"/>
      <c r="BE187" s="1"/>
    </row>
    <row r="188" spans="8:57" ht="15.75" customHeight="1" x14ac:dyDescent="0.25">
      <c r="H188" s="1"/>
      <c r="L188" s="1"/>
      <c r="P188" s="1"/>
      <c r="T188" s="1"/>
      <c r="U188" s="1"/>
      <c r="Y188" s="1"/>
      <c r="AC188" s="1"/>
      <c r="AO188" s="1"/>
      <c r="AS188" s="1"/>
      <c r="BA188" s="1"/>
      <c r="BE188" s="1"/>
    </row>
    <row r="189" spans="8:57" ht="15.75" customHeight="1" x14ac:dyDescent="0.25">
      <c r="H189" s="1"/>
      <c r="L189" s="1"/>
      <c r="P189" s="1"/>
      <c r="T189" s="1"/>
      <c r="U189" s="1"/>
      <c r="Y189" s="1"/>
      <c r="AC189" s="1"/>
      <c r="AO189" s="1"/>
      <c r="AS189" s="1"/>
      <c r="BA189" s="1"/>
      <c r="BE189" s="1"/>
    </row>
    <row r="190" spans="8:57" ht="15.75" customHeight="1" x14ac:dyDescent="0.25">
      <c r="H190" s="1"/>
      <c r="L190" s="1"/>
      <c r="P190" s="1"/>
      <c r="T190" s="1"/>
      <c r="U190" s="1"/>
      <c r="Y190" s="1"/>
      <c r="AC190" s="1"/>
      <c r="AO190" s="1"/>
      <c r="AS190" s="1"/>
      <c r="BA190" s="1"/>
      <c r="BE190" s="1"/>
    </row>
    <row r="191" spans="8:57" ht="15.75" customHeight="1" x14ac:dyDescent="0.25">
      <c r="H191" s="1"/>
      <c r="L191" s="1"/>
      <c r="P191" s="1"/>
      <c r="T191" s="1"/>
      <c r="U191" s="1"/>
      <c r="Y191" s="1"/>
      <c r="AC191" s="1"/>
      <c r="AO191" s="1"/>
      <c r="AS191" s="1"/>
      <c r="BA191" s="1"/>
      <c r="BE191" s="1"/>
    </row>
    <row r="192" spans="8:57" ht="15.75" customHeight="1" x14ac:dyDescent="0.25">
      <c r="H192" s="1"/>
      <c r="L192" s="1"/>
      <c r="P192" s="1"/>
      <c r="T192" s="1"/>
      <c r="U192" s="1"/>
      <c r="Y192" s="1"/>
      <c r="AC192" s="1"/>
      <c r="AO192" s="1"/>
      <c r="AS192" s="1"/>
      <c r="BA192" s="1"/>
      <c r="BE192" s="1"/>
    </row>
    <row r="193" spans="8:57" ht="15.75" customHeight="1" x14ac:dyDescent="0.25">
      <c r="H193" s="1"/>
      <c r="L193" s="1"/>
      <c r="P193" s="1"/>
      <c r="T193" s="1"/>
      <c r="U193" s="1"/>
      <c r="Y193" s="1"/>
      <c r="AC193" s="1"/>
      <c r="AO193" s="1"/>
      <c r="AS193" s="1"/>
      <c r="BA193" s="1"/>
      <c r="BE193" s="1"/>
    </row>
    <row r="194" spans="8:57" ht="15.75" customHeight="1" x14ac:dyDescent="0.25">
      <c r="H194" s="1"/>
      <c r="L194" s="1"/>
      <c r="P194" s="1"/>
      <c r="T194" s="1"/>
      <c r="U194" s="1"/>
      <c r="Y194" s="1"/>
      <c r="AC194" s="1"/>
      <c r="AO194" s="1"/>
      <c r="AS194" s="1"/>
      <c r="BA194" s="1"/>
      <c r="BE194" s="1"/>
    </row>
    <row r="195" spans="8:57" ht="15.75" customHeight="1" x14ac:dyDescent="0.25">
      <c r="H195" s="1"/>
      <c r="L195" s="1"/>
      <c r="P195" s="1"/>
      <c r="T195" s="1"/>
      <c r="U195" s="1"/>
      <c r="Y195" s="1"/>
      <c r="AC195" s="1"/>
      <c r="AO195" s="1"/>
      <c r="AS195" s="1"/>
      <c r="BA195" s="1"/>
      <c r="BE195" s="1"/>
    </row>
    <row r="196" spans="8:57" ht="15.75" customHeight="1" x14ac:dyDescent="0.25">
      <c r="H196" s="1"/>
      <c r="L196" s="1"/>
      <c r="P196" s="1"/>
      <c r="T196" s="1"/>
      <c r="U196" s="1"/>
      <c r="Y196" s="1"/>
      <c r="AC196" s="1"/>
      <c r="AO196" s="1"/>
      <c r="AS196" s="1"/>
      <c r="BA196" s="1"/>
      <c r="BE196" s="1"/>
    </row>
    <row r="197" spans="8:57" ht="15.75" customHeight="1" x14ac:dyDescent="0.25">
      <c r="H197" s="1"/>
      <c r="L197" s="1"/>
      <c r="P197" s="1"/>
      <c r="T197" s="1"/>
      <c r="U197" s="1"/>
      <c r="Y197" s="1"/>
      <c r="AC197" s="1"/>
      <c r="AO197" s="1"/>
      <c r="AS197" s="1"/>
      <c r="BA197" s="1"/>
      <c r="BE197" s="1"/>
    </row>
    <row r="198" spans="8:57" ht="15.75" customHeight="1" x14ac:dyDescent="0.25">
      <c r="H198" s="1"/>
      <c r="L198" s="1"/>
      <c r="P198" s="1"/>
      <c r="T198" s="1"/>
      <c r="U198" s="1"/>
      <c r="Y198" s="1"/>
      <c r="AC198" s="1"/>
      <c r="AO198" s="1"/>
      <c r="AS198" s="1"/>
      <c r="BA198" s="1"/>
      <c r="BE198" s="1"/>
    </row>
    <row r="199" spans="8:57" ht="15.75" customHeight="1" x14ac:dyDescent="0.25">
      <c r="H199" s="1"/>
      <c r="L199" s="1"/>
      <c r="P199" s="1"/>
      <c r="T199" s="1"/>
      <c r="U199" s="1"/>
      <c r="Y199" s="1"/>
      <c r="AC199" s="1"/>
      <c r="AO199" s="1"/>
      <c r="AS199" s="1"/>
      <c r="BA199" s="1"/>
      <c r="BE199" s="1"/>
    </row>
    <row r="200" spans="8:57" ht="15.75" customHeight="1" x14ac:dyDescent="0.25">
      <c r="H200" s="1"/>
      <c r="L200" s="1"/>
      <c r="P200" s="1"/>
      <c r="T200" s="1"/>
      <c r="U200" s="1"/>
      <c r="Y200" s="1"/>
      <c r="AC200" s="1"/>
      <c r="AO200" s="1"/>
      <c r="AS200" s="1"/>
      <c r="BA200" s="1"/>
      <c r="BE200" s="1"/>
    </row>
    <row r="201" spans="8:57" ht="15.75" customHeight="1" x14ac:dyDescent="0.25">
      <c r="H201" s="1"/>
      <c r="L201" s="1"/>
      <c r="P201" s="1"/>
      <c r="T201" s="1"/>
      <c r="U201" s="1"/>
      <c r="Y201" s="1"/>
      <c r="AC201" s="1"/>
      <c r="AO201" s="1"/>
      <c r="AS201" s="1"/>
      <c r="BA201" s="1"/>
      <c r="BE201" s="1"/>
    </row>
    <row r="202" spans="8:57" ht="15.75" customHeight="1" x14ac:dyDescent="0.25">
      <c r="H202" s="1"/>
      <c r="L202" s="1"/>
      <c r="P202" s="1"/>
      <c r="T202" s="1"/>
      <c r="U202" s="1"/>
      <c r="Y202" s="1"/>
      <c r="AC202" s="1"/>
      <c r="AO202" s="1"/>
      <c r="AS202" s="1"/>
      <c r="BA202" s="1"/>
      <c r="BE202" s="1"/>
    </row>
    <row r="203" spans="8:57" ht="15.75" customHeight="1" x14ac:dyDescent="0.25">
      <c r="H203" s="1"/>
      <c r="L203" s="1"/>
      <c r="P203" s="1"/>
      <c r="T203" s="1"/>
      <c r="U203" s="1"/>
      <c r="Y203" s="1"/>
      <c r="AC203" s="1"/>
      <c r="AO203" s="1"/>
      <c r="AS203" s="1"/>
      <c r="BA203" s="1"/>
      <c r="BE203" s="1"/>
    </row>
    <row r="204" spans="8:57" ht="15.75" customHeight="1" x14ac:dyDescent="0.25">
      <c r="H204" s="1"/>
      <c r="L204" s="1"/>
      <c r="P204" s="1"/>
      <c r="T204" s="1"/>
      <c r="U204" s="1"/>
      <c r="Y204" s="1"/>
      <c r="AC204" s="1"/>
      <c r="AO204" s="1"/>
      <c r="AS204" s="1"/>
      <c r="BA204" s="1"/>
      <c r="BE204" s="1"/>
    </row>
    <row r="205" spans="8:57" ht="15.75" customHeight="1" x14ac:dyDescent="0.25">
      <c r="H205" s="1"/>
      <c r="L205" s="1"/>
      <c r="P205" s="1"/>
      <c r="T205" s="1"/>
      <c r="U205" s="1"/>
      <c r="Y205" s="1"/>
      <c r="AC205" s="1"/>
      <c r="AO205" s="1"/>
      <c r="AS205" s="1"/>
      <c r="BA205" s="1"/>
      <c r="BE205" s="1"/>
    </row>
    <row r="206" spans="8:57" ht="15.75" customHeight="1" x14ac:dyDescent="0.25">
      <c r="H206" s="1"/>
      <c r="L206" s="1"/>
      <c r="P206" s="1"/>
      <c r="T206" s="1"/>
      <c r="U206" s="1"/>
      <c r="Y206" s="1"/>
      <c r="AC206" s="1"/>
      <c r="AO206" s="1"/>
      <c r="AS206" s="1"/>
      <c r="BA206" s="1"/>
      <c r="BE206" s="1"/>
    </row>
    <row r="207" spans="8:57" ht="15.75" customHeight="1" x14ac:dyDescent="0.25">
      <c r="H207" s="1"/>
      <c r="L207" s="1"/>
      <c r="P207" s="1"/>
      <c r="T207" s="1"/>
      <c r="U207" s="1"/>
      <c r="Y207" s="1"/>
      <c r="AC207" s="1"/>
      <c r="AO207" s="1"/>
      <c r="AS207" s="1"/>
      <c r="BA207" s="1"/>
      <c r="BE207" s="1"/>
    </row>
    <row r="208" spans="8:57" ht="15.75" customHeight="1" x14ac:dyDescent="0.25">
      <c r="H208" s="1"/>
      <c r="L208" s="1"/>
      <c r="P208" s="1"/>
      <c r="T208" s="1"/>
      <c r="U208" s="1"/>
      <c r="Y208" s="1"/>
      <c r="AC208" s="1"/>
      <c r="AO208" s="1"/>
      <c r="AS208" s="1"/>
      <c r="BA208" s="1"/>
      <c r="BE208" s="1"/>
    </row>
    <row r="209" spans="8:57" ht="15.75" customHeight="1" x14ac:dyDescent="0.25">
      <c r="H209" s="1"/>
      <c r="L209" s="1"/>
      <c r="P209" s="1"/>
      <c r="T209" s="1"/>
      <c r="U209" s="1"/>
      <c r="Y209" s="1"/>
      <c r="AC209" s="1"/>
      <c r="AO209" s="1"/>
      <c r="AS209" s="1"/>
      <c r="BA209" s="1"/>
      <c r="BE209" s="1"/>
    </row>
    <row r="210" spans="8:57" ht="15.75" customHeight="1" x14ac:dyDescent="0.25">
      <c r="H210" s="1"/>
      <c r="L210" s="1"/>
      <c r="P210" s="1"/>
      <c r="T210" s="1"/>
      <c r="U210" s="1"/>
      <c r="Y210" s="1"/>
      <c r="AC210" s="1"/>
      <c r="AO210" s="1"/>
      <c r="AS210" s="1"/>
      <c r="BA210" s="1"/>
      <c r="BE210" s="1"/>
    </row>
    <row r="211" spans="8:57" ht="15.75" customHeight="1" x14ac:dyDescent="0.25">
      <c r="H211" s="1"/>
      <c r="L211" s="1"/>
      <c r="P211" s="1"/>
      <c r="T211" s="1"/>
      <c r="U211" s="1"/>
      <c r="Y211" s="1"/>
      <c r="AC211" s="1"/>
      <c r="AO211" s="1"/>
      <c r="AS211" s="1"/>
      <c r="BA211" s="1"/>
      <c r="BE211" s="1"/>
    </row>
    <row r="212" spans="8:57" ht="15.75" customHeight="1" x14ac:dyDescent="0.25">
      <c r="H212" s="1"/>
      <c r="L212" s="1"/>
      <c r="P212" s="1"/>
      <c r="T212" s="1"/>
      <c r="U212" s="1"/>
      <c r="Y212" s="1"/>
      <c r="AC212" s="1"/>
      <c r="AO212" s="1"/>
      <c r="AS212" s="1"/>
      <c r="BA212" s="1"/>
      <c r="BE212" s="1"/>
    </row>
    <row r="213" spans="8:57" ht="15.75" customHeight="1" x14ac:dyDescent="0.25">
      <c r="H213" s="1"/>
      <c r="L213" s="1"/>
      <c r="P213" s="1"/>
      <c r="T213" s="1"/>
      <c r="U213" s="1"/>
      <c r="Y213" s="1"/>
      <c r="AC213" s="1"/>
      <c r="AO213" s="1"/>
      <c r="AS213" s="1"/>
      <c r="BA213" s="1"/>
      <c r="BE213" s="1"/>
    </row>
  </sheetData>
  <mergeCells count="16">
    <mergeCell ref="B2:B3"/>
    <mergeCell ref="C2:C3"/>
    <mergeCell ref="D2:D3"/>
    <mergeCell ref="BB2:BE2"/>
    <mergeCell ref="U2:X2"/>
    <mergeCell ref="Y2:AB2"/>
    <mergeCell ref="AC2:AF2"/>
    <mergeCell ref="M2:P2"/>
    <mergeCell ref="AG2:AK2"/>
    <mergeCell ref="AL2:AO2"/>
    <mergeCell ref="AP2:AS2"/>
    <mergeCell ref="Q2:T2"/>
    <mergeCell ref="AT2:AW2"/>
    <mergeCell ref="AX2:BA2"/>
    <mergeCell ref="E2:H2"/>
    <mergeCell ref="I2:L2"/>
  </mergeCells>
  <hyperlinks>
    <hyperlink ref="C21" r:id="rId1" display="http://www.disco.com.uy/index.php?target=locales_ubicacion" xr:uid="{00000000-0004-0000-0700-000000000000}"/>
    <hyperlink ref="C22" r:id="rId2" display="http://www.disco.com.uy/index.php?target=locales_ubicacion" xr:uid="{00000000-0004-0000-0700-000001000000}"/>
    <hyperlink ref="C24" r:id="rId3" display="http://www.disco.com.uy/index.php?target=locales_ubicacion" xr:uid="{00000000-0004-0000-0700-000002000000}"/>
    <hyperlink ref="C25" r:id="rId4" display="http://www.disco.com.uy/index.php?target=locales_ubicacion" xr:uid="{00000000-0004-0000-0700-000003000000}"/>
    <hyperlink ref="C26" r:id="rId5" display="http://www.disco.com.uy/index.php?target=locales_ubicacion" xr:uid="{00000000-0004-0000-0700-000004000000}"/>
    <hyperlink ref="C27" r:id="rId6" display="http://www.disco.com.uy/index.php?target=locales_ubicacion" xr:uid="{00000000-0004-0000-0700-000005000000}"/>
    <hyperlink ref="C28" r:id="rId7" display="http://www.disco.com.uy/index.php?target=locales_ubicacion" xr:uid="{00000000-0004-0000-0700-000006000000}"/>
    <hyperlink ref="C29" r:id="rId8" display="http://www.disco.com.uy/index.php?target=locales_ubicacion" xr:uid="{00000000-0004-0000-0700-000007000000}"/>
    <hyperlink ref="C30" r:id="rId9" display="http://www.disco.com.uy/index.php?target=locales_ubicacion" xr:uid="{00000000-0004-0000-0700-000008000000}"/>
    <hyperlink ref="C31" r:id="rId10" display="http://www.disco.com.uy/index.php?target=locales_ubicacion" xr:uid="{00000000-0004-0000-0700-000009000000}"/>
    <hyperlink ref="C32" r:id="rId11" display="http://www.disco.com.uy/index.php?target=locales_ubicacion" xr:uid="{00000000-0004-0000-0700-00000A000000}"/>
    <hyperlink ref="C23" r:id="rId12" display="http://www.disco.com.uy/index.php?target=locales_ubicacion" xr:uid="{00000000-0004-0000-0700-00000B000000}"/>
  </hyperlinks>
  <pageMargins left="0.24" right="0.3" top="0.17" bottom="0.18" header="0.17" footer="0.3"/>
  <pageSetup paperSize="9" orientation="landscape"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bc3b264-1ed2-4d34-8d50-74820a164cc1" xsi:nil="true"/>
    <lcf76f155ced4ddcb4097134ff3c332f xmlns="2cb64402-c7a8-43e4-b66a-f95e5c0edbe7">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33B263BB50D3024A9482E006B3FC0806" ma:contentTypeVersion="13" ma:contentTypeDescription="Crear nuevo documento." ma:contentTypeScope="" ma:versionID="5a8abfa8e43e680b958dd80c64d15eb8">
  <xsd:schema xmlns:xsd="http://www.w3.org/2001/XMLSchema" xmlns:xs="http://www.w3.org/2001/XMLSchema" xmlns:p="http://schemas.microsoft.com/office/2006/metadata/properties" xmlns:ns2="2cb64402-c7a8-43e4-b66a-f95e5c0edbe7" xmlns:ns3="bbc3b264-1ed2-4d34-8d50-74820a164cc1" targetNamespace="http://schemas.microsoft.com/office/2006/metadata/properties" ma:root="true" ma:fieldsID="a87d61baccdc93a1192fcd8c6e501eca" ns2:_="" ns3:_="">
    <xsd:import namespace="2cb64402-c7a8-43e4-b66a-f95e5c0edbe7"/>
    <xsd:import namespace="bbc3b264-1ed2-4d34-8d50-74820a164c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64402-c7a8-43e4-b66a-f95e5c0edb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6ec6f9da-047b-485a-bebd-3fa2debae4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c3b264-1ed2-4d34-8d50-74820a164cc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aa3b932-f909-45d5-9fe5-2e3258e4f8a8}" ma:internalName="TaxCatchAll" ma:showField="CatchAllData" ma:web="bbc3b264-1ed2-4d34-8d50-74820a164c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28B77F-00D8-4B77-AA73-5908D24F439E}">
  <ds:schemaRefs>
    <ds:schemaRef ds:uri="http://schemas.microsoft.com/office/2006/metadata/properties"/>
    <ds:schemaRef ds:uri="http://www.w3.org/2000/xmlns/"/>
    <ds:schemaRef ds:uri="bbc3b264-1ed2-4d34-8d50-74820a164cc1"/>
    <ds:schemaRef ds:uri="http://www.w3.org/2001/XMLSchema-instance"/>
    <ds:schemaRef ds:uri="2cb64402-c7a8-43e4-b66a-f95e5c0edbe7"/>
    <ds:schemaRef ds:uri="http://schemas.microsoft.com/office/infopath/2007/PartnerControls"/>
  </ds:schemaRefs>
</ds:datastoreItem>
</file>

<file path=customXml/itemProps2.xml><?xml version="1.0" encoding="utf-8"?>
<ds:datastoreItem xmlns:ds="http://schemas.openxmlformats.org/officeDocument/2006/customXml" ds:itemID="{014A2176-2840-4AA2-AE54-1038E4BB7B26}">
  <ds:schemaRefs>
    <ds:schemaRef ds:uri="http://schemas.microsoft.com/DataMashup"/>
  </ds:schemaRefs>
</ds:datastoreItem>
</file>

<file path=customXml/itemProps3.xml><?xml version="1.0" encoding="utf-8"?>
<ds:datastoreItem xmlns:ds="http://schemas.openxmlformats.org/officeDocument/2006/customXml" ds:itemID="{18FC841E-068D-4627-8DFE-11E73722A7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b64402-c7a8-43e4-b66a-f95e5c0edbe7"/>
    <ds:schemaRef ds:uri="bbc3b264-1ed2-4d34-8d50-74820a164c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B19523F-7207-448D-AB51-CD5163DC5D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Plan con formato</vt:lpstr>
      <vt:lpstr>Mes</vt:lpstr>
      <vt:lpstr>Hoja1</vt:lpstr>
      <vt:lpstr>Plan de visitas old</vt:lpstr>
      <vt:lpstr>Mes!Área_de_impresión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chiesa2</dc:creator>
  <cp:keywords/>
  <dc:description/>
  <cp:lastModifiedBy>Lorenzo Bonino</cp:lastModifiedBy>
  <cp:revision/>
  <cp:lastPrinted>2026-05-21T14:40:28Z</cp:lastPrinted>
  <dcterms:created xsi:type="dcterms:W3CDTF">2012-03-30T16:25:53Z</dcterms:created>
  <dcterms:modified xsi:type="dcterms:W3CDTF">2026-07-30T17:44:40Z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0x01010033B263BB50D3024A9482E006B3FC0806</vt:lpwstr>
  </property>
  <property fmtid="{D5CDD505-2E9C-101B-9397-08002B2CF9AE}" pid="3" name="AuthorIds_UIVersion_7168">
    <vt:lpwstr>13</vt:lpwstr>
  </property>
  <property fmtid="{D5CDD505-2E9C-101B-9397-08002B2CF9AE}" pid="4" name="MediaServiceImageTags">
    <vt:lpwstr/>
  </property>
</Properties>
</file>